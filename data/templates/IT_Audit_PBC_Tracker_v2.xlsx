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ashboard" sheetId="2" state="visible" r:id="rId4"/>
    <sheet name="PBC List" sheetId="3" state="visible" r:id="rId5"/>
    <sheet name="Access Requests" sheetId="4" state="visible" r:id="rId6"/>
    <sheet name="Walkthroughs" sheetId="5" state="visible" r:id="rId7"/>
    <sheet name="Entity Scope" sheetId="6" state="visible" r:id="rId8"/>
    <sheet name="Sampling &amp; Testing" sheetId="7" state="visible" r:id="rId9"/>
    <sheet name="Categories" sheetId="8" state="visible" r:id="rId10"/>
  </sheets>
  <definedNames>
    <definedName function="false" hidden="true" localSheetId="3" name="_xlnm._FilterDatabase" vbProcedure="false">'Access Requests'!$A$1:$J$20</definedName>
    <definedName function="false" hidden="true" localSheetId="2" name="_xlnm._FilterDatabase" vbProcedure="false">'PBC List'!$A$1:$K$56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<sst xmlns="http://schemas.openxmlformats.org/spreadsheetml/2006/main" count="710" uniqueCount="437">
  <si>
    <t xml:space="preserve">IT AUDIT — INITIAL REQUEST LIST (PBC TRACKER)</t>
  </si>
  <si>
    <t xml:space="preserve">General IT controls  |  SOC 2 readiness  |  Licensing  |  IT spend  |  Multi-entity</t>
  </si>
  <si>
    <t xml:space="preserve">Workbook contents</t>
  </si>
  <si>
    <t xml:space="preserve">  📊  Dashboard           — live status across all categories (auto-updating)</t>
  </si>
  <si>
    <t xml:space="preserve">  📋  PBC List            — all 55 audit information requests (the formal document)</t>
  </si>
  <si>
    <t xml:space="preserve">  🔑  Access Requests     — read-only accounts and Graph API access needed</t>
  </si>
  <si>
    <t xml:space="preserve">  🎯  Walkthroughs        — process walkthroughs to schedule (week 1-2)</t>
  </si>
  <si>
    <t xml:space="preserve">  🏢  Entity Scope        — multi-entity scoping confirmation</t>
  </si>
  <si>
    <t xml:space="preserve">  🧪  Sampling &amp; Testing  — control test populations and samples</t>
  </si>
  <si>
    <t xml:space="preserve">  🗂   Categories          — reference: 9 categories of audit requests</t>
  </si>
  <si>
    <t xml:space="preserve">How to use</t>
  </si>
  <si>
    <t xml:space="preserve">  1. Send the PBC List tab to the client IT contact as the formal audit request.</t>
  </si>
  <si>
    <t xml:space="preserve">  2. As items come in, update Status / Date Received / Notes — the Dashboard updates automatically.</t>
  </si>
  <si>
    <t xml:space="preserve">  3. Filter the PBC List by Category, Priority, or Status to focus weekly status meetings.</t>
  </si>
  <si>
    <t xml:space="preserve">  4. Use Access Requests to track read-only access across all systems.</t>
  </si>
  <si>
    <t xml:space="preserve">  5. Use Walkthroughs to plan kickoff and process sessions.</t>
  </si>
  <si>
    <t xml:space="preserve">  6. Use Entity Scope to lock in multi-entity boundaries before testing starts.</t>
  </si>
  <si>
    <t xml:space="preserve">  7. Use Sampling &amp; Testing once populations are received and you move into testing phase.</t>
  </si>
  <si>
    <t xml:space="preserve">Engagement details</t>
  </si>
  <si>
    <t xml:space="preserve">  Audit period:  [YYYY-MM-DD to YYYY-MM-DD]</t>
  </si>
  <si>
    <t xml:space="preserve">  Reporting deadline:  [TO BE CONFIRMED]</t>
  </si>
  <si>
    <t xml:space="preserve">  Lead auditor:  [YOUR NAME]</t>
  </si>
  <si>
    <t xml:space="preserve">  Engagement partner:  [NAME]</t>
  </si>
  <si>
    <t xml:space="preserve">  Client IT contact:  [NAME, EMAIL]</t>
  </si>
  <si>
    <t xml:space="preserve">  Client sponsor:  [NAME, ROLE]</t>
  </si>
  <si>
    <t xml:space="preserve">  Entities in scope:  [ENTITY 1, ENTITY 2, ...]</t>
  </si>
  <si>
    <t xml:space="preserve">  In-scope frameworks:  General IT controls, SOC 2 readiness, Licensing, IT Spend</t>
  </si>
  <si>
    <t xml:space="preserve">Status legend</t>
  </si>
  <si>
    <t xml:space="preserve">  Not Started   — Request not yet sent</t>
  </si>
  <si>
    <t xml:space="preserve">  Requested     — Sent to client, awaiting response</t>
  </si>
  <si>
    <t xml:space="preserve">  In Progress   — Client preparing / partial received</t>
  </si>
  <si>
    <t xml:space="preserve">  Received      — Evidence received, not yet reviewed</t>
  </si>
  <si>
    <t xml:space="preserve">  Reviewed      — Evidence received and reviewed</t>
  </si>
  <si>
    <t xml:space="preserve">  N/A           — Not applicable for this engagement</t>
  </si>
  <si>
    <t xml:space="preserve">AUDIT STATUS DASHBOARD</t>
  </si>
  <si>
    <t xml:space="preserve">Live status — updates as the PBC List is filled in</t>
  </si>
  <si>
    <t xml:space="preserve">TOTAL ITEMS</t>
  </si>
  <si>
    <t xml:space="preserve">RECEIVED</t>
  </si>
  <si>
    <t xml:space="preserve">IN PROGRESS</t>
  </si>
  <si>
    <t xml:space="preserve">NOT STARTED</t>
  </si>
  <si>
    <t xml:space="preserve">% COMPLETE</t>
  </si>
  <si>
    <t xml:space="preserve">OUTSTANDING HIGH</t>
  </si>
  <si>
    <t xml:space="preserve">STATUS BY CATEGORY</t>
  </si>
  <si>
    <t xml:space="preserve">Category</t>
  </si>
  <si>
    <t xml:space="preserve">Total</t>
  </si>
  <si>
    <t xml:space="preserve">Received</t>
  </si>
  <si>
    <t xml:space="preserve">In Progress</t>
  </si>
  <si>
    <t xml:space="preserve">Not Started</t>
  </si>
  <si>
    <t xml:space="preserve">% Complete</t>
  </si>
  <si>
    <t xml:space="preserve">Governance</t>
  </si>
  <si>
    <t xml:space="preserve">Entities &amp; Systems</t>
  </si>
  <si>
    <t xml:space="preserve">Access Management</t>
  </si>
  <si>
    <t xml:space="preserve">Change Management</t>
  </si>
  <si>
    <t xml:space="preserve">IT Operations</t>
  </si>
  <si>
    <t xml:space="preserve">Third Parties</t>
  </si>
  <si>
    <t xml:space="preserve">Licensing</t>
  </si>
  <si>
    <t xml:space="preserve">IT Spend</t>
  </si>
  <si>
    <t xml:space="preserve">SOC 2 Readiness</t>
  </si>
  <si>
    <t xml:space="preserve">Physical &amp; Environmental</t>
  </si>
  <si>
    <t xml:space="preserve">TOTAL</t>
  </si>
  <si>
    <t xml:space="preserve">STATUS BY PRIORITY</t>
  </si>
  <si>
    <t xml:space="preserve">Priority</t>
  </si>
  <si>
    <t xml:space="preserve">Outstanding</t>
  </si>
  <si>
    <t xml:space="preserve">High</t>
  </si>
  <si>
    <t xml:space="preserve">Medium</t>
  </si>
  <si>
    <t xml:space="preserve">Low</t>
  </si>
  <si>
    <t xml:space="preserve">Note: items rated "Medium-High" count under their respective combined priorities; treat as High for week-1 scheduling.</t>
  </si>
  <si>
    <t xml:space="preserve">#</t>
  </si>
  <si>
    <t xml:space="preserve">Item Requested</t>
  </si>
  <si>
    <t xml:space="preserve">Why / Audit Purpose</t>
  </si>
  <si>
    <t xml:space="preserve">Format Expected</t>
  </si>
  <si>
    <t xml:space="preserve">Owner (Client)</t>
  </si>
  <si>
    <t xml:space="preserve">Status</t>
  </si>
  <si>
    <t xml:space="preserve">Date Requested</t>
  </si>
  <si>
    <t xml:space="preserve">Date Received</t>
  </si>
  <si>
    <t xml:space="preserve">Notes</t>
  </si>
  <si>
    <t xml:space="preserve">IT organizational chart — all entities, with roles, reporting lines, and external vendors / MSPs / contractors involved in IT operations</t>
  </si>
  <si>
    <t xml:space="preserve">Understand IT structure, identify control owners, SoD at org level, surface external parties embedded in IT processes</t>
  </si>
  <si>
    <t xml:space="preserve">PDF / Visio</t>
  </si>
  <si>
    <t xml:space="preserve">All IT and InfoSec policies — Acceptable Use, InfoSec, Access Control, Change Mgmt, Backup, Incident Response, Vendor Mgmt, Data Classification, BCP/DR, Password, Remote Access, Encryption, Data Retention, GenAI Use, MDM, Clean Desk</t>
  </si>
  <si>
    <t xml:space="preserve">Baseline for control design assessment; SOC 2 TSC mapping; check policies are current and approved</t>
  </si>
  <si>
    <t xml:space="preserve">PDF / Word, with version, approval date, and owner</t>
  </si>
  <si>
    <t xml:space="preserve">IT risk assessment + risk register (current &amp; prior year) + methodology + risk acceptance log + steering minutes referencing risk + heat map + supporting inputs (pen tests, threat intel, vuln scans, prior audits)</t>
  </si>
  <si>
    <t xml:space="preserve">Confirm structured, current view of IT risks; align audit scope; surface gaps where significant risks have no controls</t>
  </si>
  <si>
    <t xml:space="preserve">Excel + PDF</t>
  </si>
  <si>
    <t xml:space="preserve">Prior internal/external audit reports (IT) and management responses — last 12 months (incl. internal audit, ITGC memos, prior SOC 2/ISO, regulatory inspections, pen tests, vendor licensing audits)</t>
  </si>
  <si>
    <t xml:space="preserve">Identify previously known findings, check remediation status, flag repeat issues</t>
  </si>
  <si>
    <t xml:space="preserve">PDF reports + remediation tracker</t>
  </si>
  <si>
    <t xml:space="preserve">IT steering committee minutes — last 12 months, with attendees and charter</t>
  </si>
  <si>
    <t xml:space="preserve">Evidence of governance and oversight; tone at the top; budget/risk/incident escalation</t>
  </si>
  <si>
    <t xml:space="preserve">PDF</t>
  </si>
  <si>
    <t xml:space="preserve">IT strategy document and roadmap (1-3 year strategy + annual roadmap)</t>
  </si>
  <si>
    <t xml:space="preserve">Alignment of IT direction with business strategy; planned investments and major initiatives driving change risk</t>
  </si>
  <si>
    <t xml:space="preserve">PDF / PowerPoint</t>
  </si>
  <si>
    <t xml:space="preserve">Security awareness and training program — curriculum, completion records, phishing simulations (campaigns, click rates, repeat offenders), new-hire onboarding, role-specific training (devs, admins, finance), policy acknowledgments</t>
  </si>
  <si>
    <t xml:space="preserve">SOC 2 CC1.4 / CC2.2; demonstrates personnel competence and awareness; phishing/social engineering control</t>
  </si>
  <si>
    <t xml:space="preserve">Training platform export + materials</t>
  </si>
  <si>
    <t xml:space="preserve">Multi-entity scoping pack — per-entity profile (legal name, country, regulatory regime, headcount, IT model, local IT, M&amp;A); shared vs separate services matrix (identity, email, network, helpdesk, ERP, HRIS, backup, SOC); inter-entity arrangements (MSAs, allocations, data flows, cross-entity access); scoping decisions and exclusions; group structure</t>
  </si>
  <si>
    <t xml:space="preserve">Define audit boundary; identify intercompany IT dependencies and shared services</t>
  </si>
  <si>
    <t xml:space="preserve">Excel + PDF org chart</t>
  </si>
  <si>
    <t xml:space="preserve">Application inventory per entity — name, version, owner (business + IT), criticality, hosting model, vendor, data classification, authentication, integrations, in scope for SOC 2 / financial reporting</t>
  </si>
  <si>
    <t xml:space="preserve">Scope in-scope systems; foundation for access, change, licensing testing</t>
  </si>
  <si>
    <t xml:space="preserve">Excel</t>
  </si>
  <si>
    <t xml:space="preserve">Network architecture pack — logical + physical diagrams; cloud architecture per workload; inter-entity connectivity; perimeter; remote access; identity; data flow diagrams; IP schema; network device inventory; firewall rule base + rule review evidence; segmentation rationale; DNS architecture; certificate/PKI documentation; wireless design; change log; monitoring tools; IDS/IPS coverage</t>
  </si>
  <si>
    <t xml:space="preserve">Architecture, trust boundaries, segmentation; required for SOC 2 system description</t>
  </si>
  <si>
    <t xml:space="preserve">Visio / Lucid / PDF + Excel</t>
  </si>
  <si>
    <t xml:space="preserve">Cloud and SaaS inventory — vendor, plan, account/tenant IDs, owner, entity, data, auth method, seats vs active users, annual cost, contract dates, SOC 2 / ISO attestations, procurement route (formal vs shadow IT)</t>
  </si>
  <si>
    <t xml:space="preserve">Scope cloud workloads; sub-service organizations for SOC 2; foundation for licensing/spend</t>
  </si>
  <si>
    <t xml:space="preserve">Asset inventory — servers, workstations, mobile, network devices, printers/IoT/OT; with hostname, OS, owner, location, criticality, support status; decommissioned asset list + disposal evidence; reconciliation between sources (CMDB vs Intune vs HR vs procurement)</t>
  </si>
  <si>
    <t xml:space="preserve">Completeness check for patch / vuln / EDR coverage testing</t>
  </si>
  <si>
    <t xml:space="preserve">Excel / CMDB export</t>
  </si>
  <si>
    <t xml:space="preserve">Domain and SSL/TLS certificate inventory — registered domains (registrar, expiry, auto-renewal, DNSSEC, SPF/DKIM/DMARC); subdomain inventory; cert inventory (CN, SANs, issuer, expiry, key size, owner); renewal process; expiring certs (30/60/90 days); deprecated algorithms; code signing certs</t>
  </si>
  <si>
    <t xml:space="preserve">Surfaces forgotten internet-facing assets, expired certs, weak crypto, subdomain takeover risk</t>
  </si>
  <si>
    <t xml:space="preserve">Excel + supporting exports</t>
  </si>
  <si>
    <t xml:space="preserve">Identity &amp; access full data extract pack — user dump per tenant (UPN, status, last sign-in interactive+non-interactive, password change, MFA registration &amp; methods, CA policies, risk state, licenses, dept, manager, entity, type, mailbox, forwarding rules); guests; service accounts &amp; app registrations; groups (incl. privileged &amp; dynamic); PIM eligible vs active; CA policy export; auth methods policy; on-prem AD (DCs, trusts, Tier 0, password policy, GPOs, Kerberos delegation, SPNs); reconciliation data (HR, contractors, terminated, role changes); sign-in &amp; audit logs; risky sign-in reports; inactive user reports</t>
  </si>
  <si>
    <t xml:space="preserve">Foundation for all access testing — completeness, stale accounts, MFA coverage, license-to-user reconciliation</t>
  </si>
  <si>
    <t xml:space="preserve">CSV per dataset; Graph API extraction preferred</t>
  </si>
  <si>
    <t xml:space="preserve">Privileged / admin user listings per system — Entra/AD directory roles, app admins, DB sysadmins, OS local admins, cloud Owner/Contributor/UAA, network device admins, security tool admins, hypervisor admins, backup admins, ticketing admins, source code admins, ERP/HRIS admins, M365 workload admins; per user: name, role, justification, approval, date granted, last review, JIT vs permanent, MFA, named vs shared</t>
  </si>
  <si>
    <t xml:space="preserve">Test least privilege, validate approvals, identify SoD conflicts</t>
  </si>
  <si>
    <t xml:space="preserve">Excel — one tab per system</t>
  </si>
  <si>
    <t xml:space="preserve">HR active employee listing as of testing date + JML extracts — employee ID, name, status, hire/term dates, dept, title, manager, entity, employment type; separate extracts for terminations, new hires, role changes during period; contractor/third-party worker list; long-term leave list</t>
  </si>
  <si>
    <t xml:space="preserve">Reconciliation source of truth; ghost accounts; deprovisioning testing</t>
  </si>
  <si>
    <t xml:space="preserve">CSV / Excel</t>
  </si>
  <si>
    <t xml:space="preserve">JML process documentation + sample tickets — joiner, mover, leaver, contractor, emergency termination procedures; RACI; access matrices/birthright; SLA targets; 5-10 sample tickets each (joiners, leavers including involuntary, movers, contractors); evidence per ticket showing request, approver, HR trigger, all systems touched, timestamps, completion</t>
  </si>
  <si>
    <t xml:space="preserve">Test design + operating effectiveness of provisioning/deprovisioning</t>
  </si>
  <si>
    <t xml:space="preserve">PDF + ticket exports</t>
  </si>
  <si>
    <t xml:space="preserve">Periodic access review evidence per system — frequency, last review (user list reviewed, reviewer, date, sign-off, decisions, exceptions, remediation tickets, closure evidence, time to remediation); reviews of privileged accounts, standard users, service accounts, guests, group memberships, application access, cross-entity access, OAuth grants</t>
  </si>
  <si>
    <t xml:space="preserve">SOC 2 CC6.2 / CC6.3 — common failure point; rubber-stamp risk</t>
  </si>
  <si>
    <t xml:space="preserve">Excel + email approvals + tickets</t>
  </si>
  <si>
    <t xml:space="preserve">Service / generic / shared account inventory — per account: name, system, purpose, owner, backup owner, permissions, password rotation, vault status, who has credentials, MFA enforcement, interactive login allowed, last activity, monitoring, last review; categories: service, system/built-in, generic, shared, app-to-app, break-glass, vendor accounts; naming convention, approval process, PAM coverage report</t>
  </si>
  <si>
    <t xml:space="preserve">Often the weakest link: high privilege, no clear owner, never reviewed; major SOC 2 finding area</t>
  </si>
  <si>
    <t xml:space="preserve">Medium-High</t>
  </si>
  <si>
    <t xml:space="preserve">Authentication &amp; password configuration pack — on-prem AD (default domain policy, lockout, FGPP, Kerberos, NTLM, LDAP, SMB signing, gMSA, LAPS, SPNs); Entra ID (auth methods policy, password protection, smart lockout, SSPR, security defaults, legacy auth, B2B settings); Conditional Access full export with gap analysis; MFA detail (methods, phishing-resistant coverage, app passwords, trusted IPs); per-app authentication (SSO, MFA, local accounts); privileged auth (PIM MFA, PAW, JIT); cloud platform auth (root protection, IAM password policy, key rotation); other surfaces (VPN, ZTNA, jump host, DB auth, SSH keys, API auth, Wi-Fi 802.1X); Identity Protection; app secret/cert inventory + expiries; federation/trust</t>
  </si>
  <si>
    <t xml:space="preserve">Validates policy on paper matches enforcement in systems — common finding gap</t>
  </si>
  <si>
    <t xml:space="preserve">Screenshots + config exports + GPO HTML + CA JSON + Graph extracts</t>
  </si>
  <si>
    <t xml:space="preserve">Full population of changes during audit period — ticket export with: change ID, type (standard/normal/emergency/pre-approved), category, system/CI, requestor, approvers, risk rating, planned/actual dates, status, backout plan, testing evidence, PIR, linked incidents, entity; completeness reconciliation against deployment logs / release notes / CI/CD history; CAB minutes; release calendar</t>
  </si>
  <si>
    <t xml:space="preserve">Population for change testing — without complete population, no change testing is reliable</t>
  </si>
  <si>
    <t xml:space="preserve">CSV / Excel + supporting docs</t>
  </si>
  <si>
    <t xml:space="preserve">Change management procedure / workflow — policy, change types definitions, RACI, workflow diagram, approval matrix, CAB structure, risk/impact criteria, testing requirements, backout requirements, PIR requirements, emergency procedure, standard/pre-approved catalog, freeze periods, bypass capture process, integration with incident &amp; project mgmt, multi-entity scope, tooling</t>
  </si>
  <si>
    <t xml:space="preserve">Establishes control design before testing operating effectiveness</t>
  </si>
  <si>
    <t xml:space="preserve">PDF / Word</t>
  </si>
  <si>
    <t xml:space="preserve">Emergency change evidence — full list of emergency changes during period; per change: emergency justification, pre-implementation approval, implementation evidence, post-implementation approval, linked incident; emergency rate trend; breakdown by system/implementer/reason; after-hours procedure; any without post-approval (open exceptions)</t>
  </si>
  <si>
    <t xml:space="preserve">Highest-risk change type; common abuse area for routine work</t>
  </si>
  <si>
    <t xml:space="preserve">Ticket exports + evidence</t>
  </si>
  <si>
    <t xml:space="preserve">Dev / Test / Prod segregation — environment list per app, network segregation, data segregation (no prod data in lower envs / masking); access lists for prod and dev (and any cross-env access with justification); CI/CD pipeline architecture; branch protection rules; build artifact integrity; deployment approval gates; manual deployment evidence; source code mgmt (repos, branching, PR/review reqs); IaC repos; DB schema change process; direct prod DB access</t>
  </si>
  <si>
    <t xml:space="preserve">Core SoD control — devs shouldn’t deploy to production unreviewed</t>
  </si>
  <si>
    <t xml:space="preserve">Screenshots + access lists + config exports</t>
  </si>
  <si>
    <t xml:space="preserve">Code repository access &amp; controls — per platform: org admins, 2FA enforcement, SSO, audit logs, public repo policy; repo inventory; per critical repo: members + permissions, branch protection rules, CODEOWNERS, status checks, webhooks, deploy keys, secrets; pipelines/Actions inventory + approval gates + self-hosted runners + third-party plugins + secrets in pipelines; security tooling (secret scanning, push protection, Dependabot, SAST, SCA, container/license scanning); access reviews; bot/app installations</t>
  </si>
  <si>
    <t xml:space="preserve">Source code integrity; supply chain risk; common gap area</t>
  </si>
  <si>
    <t xml:space="preserve">Exports + screenshots</t>
  </si>
  <si>
    <t xml:space="preserve">Backup schedule, retention policy, and restore test evidence — backup design (policy, RPO/RTO, scope, tooling, architecture, 3-2-1, immutable copy, encryption); operations (schedules, retention tiers, recent job logs, failure tracking, SLA metrics, capacity); restore testing (policy, schedule, last test per critical system with date/scope/RTO achieved/issues/sign-off, full DR restore, actual production restores); SaaS/cloud (M365 backup, cloud DB backups, versioning); access (backup admin list, SoD with system admins); resilience (media disposal, key mgmt, immutable recovery test)</t>
  </si>
  <si>
    <t xml:space="preserve">Validates data recoverability — untested backup is not a backup; SOC 2 Availability</t>
  </si>
  <si>
    <t xml:space="preserve">Screenshots + logs + test reports + policy</t>
  </si>
  <si>
    <t xml:space="preserve">Incident log + IR documentation — full incident export (ID, detection, severity, category, system, customer impact, timeline, SLA, root cause, CAPA, linked changes/problems, notifications, PIR); IR policy / plan; severity matrix; runbooks (ransomware, phishing, breach, account compromise); IR roster + on-call + contact tree; tabletop evidence; PIR samples; trend reporting; communication templates; forensics procedures; external IR retainer</t>
  </si>
  <si>
    <t xml:space="preserve">Tests incident management process; control failure indicator</t>
  </si>
  <si>
    <t xml:space="preserve">Excel / ITSM export + PDFs</t>
  </si>
  <si>
    <t xml:space="preserve">Monitoring &amp; alerting configuration — SIEM (platform, log source inventory &amp; gap analysis, retention, time sync); detection rules with MITRE mapping + coverage of common scenarios; alerting &amp; response (routing, 24/7 vs business hours, MSSP details, on-call, SLA, sample alerts); infra/availability monitoring; CSPM tooling; specific high-value detections (privileged role changes, CA changes, break-glass usage, audit log clear, mass permission changes, SP credential additions, inbox forwarding); detection engineering process</t>
  </si>
  <si>
    <t xml:space="preserve">Detective controls; without monitoring, incidents go undetected; SOC 2 CC7.2/CC7.3</t>
  </si>
  <si>
    <t xml:space="preserve">Screenshots + config + sample alerts</t>
  </si>
  <si>
    <t xml:space="preserve">Patch management — policy with SLAs per severity + asset class; tooling per platform; last 3-6 cycles per asset class with deployment + compliance reports; SLA performance metrics + aged patches; specific reports for critical CVEs released during period; reconciliation patch tool vs asset inventory; offline workstations; EOL/unsupported systems + roadmap; exception register (with expiry + compensating control); cloud-specific (image baselines, container rebuild, auto-patch config)</t>
  </si>
  <si>
    <t xml:space="preserve">Top breach vector — unpatched systems; common SLA gap area</t>
  </si>
  <si>
    <t xml:space="preserve">PDF + reports + screenshots</t>
  </si>
  <si>
    <t xml:space="preserve">Vulnerability management — VM policy/SLAs/methodology; tooling (network, web app DAST, CSPM, container, agent-based, ASM); scan frequency, authenticated coverage, gap analysis vs assets; recent scan reports per scanner (last 2-4 cycles) + dashboards + aged findings + top recurring vulns; remediation tracking (findings → tickets → closure → verification); SLA achievement metrics; backlog trend; pen test reports + retest evidence; bug bounty; KEV/zero-day handling; threat intel inputs; exception register; metrics reported to leadership</t>
  </si>
  <si>
    <t xml:space="preserve">Continuous VM expected; close-the-loop discipline test</t>
  </si>
  <si>
    <t xml:space="preserve">Scan exports + tracker exports + dashboards</t>
  </si>
  <si>
    <t xml:space="preserve">AV / EDR coverage and operations — tooling per platform; coverage (deployed vs total assets, % per class, excluded assets register, stale agents, outdated versions); configuration (policy export, tamper protection, exclusions list, ASR rules, controlled folder access, EDR block mode); operations (sample detection events with triage, alert tuning, agent health monitoring, SIEM integration, threat hunting); agent patching</t>
  </si>
  <si>
    <t xml:space="preserve">Endpoint protection coverage gaps = blind spots; SOC 2 CC6.8</t>
  </si>
  <si>
    <t xml:space="preserve">Console exports + reports</t>
  </si>
  <si>
    <t xml:space="preserve">BCP / DR plans + test evidence — BCP, DRP, crisis mgmt plan, pandemic plan; last review/approval; BIA (date, processes, RTO/RPO/MAO per process, dependencies, financial impact); DR architecture (site, replication, failover mechanism, capacity at DR, third-party resilience); test schedule + types performed; most recent DR test per critical system (scope, RTO/RPO achieved vs target, issues, lessons, sign-off); BCP exercises; tabletop with leadership; roles &amp; contacts (out-of-band); workforce continuity; cyber recovery scenarios; any actual invocations during period</t>
  </si>
  <si>
    <t xml:space="preserve">SOC 2 Availability; resilience to disruption</t>
  </si>
  <si>
    <t xml:space="preserve">Plan documents + test reports</t>
  </si>
  <si>
    <t xml:space="preserve">Vendor / third-party listing with criticality — per vendor: name, service, type, owners, entity served, criticality + rationale, data accessed + classification, system access, sub-processors, contract dates, annual spend, DPA, last DD, last assurance report, status; sub-service orgs flagged for SOC 2; categories covered (cloud, SaaS, MSPs, software vendors with prod access, consultants, payment, HR/payroll, comms, marketing/analytics, AI/ML services, physical security); reconciliation against AP / vendor master / SaaS discovery / expense reports</t>
  </si>
  <si>
    <t xml:space="preserve">Scope vendor risk testing; sub-service orgs for SOC 2; surface shadow IT</t>
  </si>
  <si>
    <t xml:space="preserve">Third-party assurance reports — SOC 1/SOC 2/ISO 27001 for critical vendors and named sub-service orgs; bridge letters for gap to audit period end; internal review log (reviewer, date, findings, CUECs implemented); list of critical vendors without reports + alternative DD</t>
  </si>
  <si>
    <t xml:space="preserve">Reliance on key vendors for SOC 2 and ITGC</t>
  </si>
  <si>
    <t xml:space="preserve">PDFs + Excel review tracker</t>
  </si>
  <si>
    <t xml:space="preserve">Vendor onboarding &amp; due diligence — onboarding/DD procedure; sample of 5-10 vendors onboarded during period (questionnaire, security review, contract review, approval); periodic re-assessment process for existing critical vendors; offboarding evidence (access removal, data return/destruction certificate)</t>
  </si>
  <si>
    <t xml:space="preserve">Front-end vendor risk control test</t>
  </si>
  <si>
    <t xml:space="preserve">Policy + samples</t>
  </si>
  <si>
    <t xml:space="preserve">Vendor contracts &amp; DPAs — top 20 IT vendor contracts + DPAs for personal data processors + MSAs/SOWs; key clauses (confidentiality, data protection, security reqs, breach notification timeline, audit rights, sub-processor approval, termination/data return, liability/indemnity, SLAs); contract repository + access list</t>
  </si>
  <si>
    <t xml:space="preserve">Validates contractual protections actually exist</t>
  </si>
  <si>
    <t xml:space="preserve">PDFs + summary matrix</t>
  </si>
  <si>
    <t xml:space="preserve">Software licensing — full compliance &amp; optimization pack: master inventory (vendor, product, edition, metric, entitled, deployed, variance, utilization rate, annual cost, cost per active user, contract refs, dates, auto-renewal, entity, allocation, reseller, SAM source); Microsoft (M365 SKU assignment + utilization, E5 vs E3 features used, overlapping licenses, disabled users still licensed, guest paid licenses, group-based, add-ons, Windows Server + CAL position, SQL per-core, VS subscriptions, Azure MACC, Azure Hybrid Benefit, Software Assurance benefits, MLS, Product Use Rights review); Oracle (LMS scripts + outputs, license type, NUP/Processor, options &amp; mgmt packs deployed vs licensed, VM partitioning, ULA, Java SE post-2023); SAP (named user counts, indirect access, engine licensing, USMM/LAW); VMware (post-Broadcom bundles, per-core, perpetual to subscription); SaaS portfolio (seats vs active users 30/60/90, departed employees still seated, free vs paid, consumption usage, overage exposure, minimum commitments, auto-renewal next 90/180, overlapping tools, shadow IT); cloud licensing (RIs/Savings Plans + coverage, unused RIs, Hybrid Benefit, BYOL, Marketplace); open source (license obligations, GPL/AGPL, free-tier commercial restrictions, personal accounts); cost/value views (top 20 spend, cost per active user, waste estimate, renewal calendar, overlapping rationalization, discount achieved); compliance/true-up; SAM tooling + coverage; reclamation process; standard catalog; reconciliation tests (entitlement → deployed → financial)</t>
  </si>
  <si>
    <t xml:space="preserve">Compliance + cost optimization findings; central to scope</t>
  </si>
  <si>
    <t xml:space="preserve">Excel master + per-publisher tabs + raw exports</t>
  </si>
  <si>
    <t xml:space="preserve">Compliance position &amp; true-ups — latest True-Up / True-Down filings (last 2 cycles with quantities + amounts); any vendor-led audit in last 3 years (scope, findings, settlement, remediation); self-audit / mock audit evidence; internal license position review (frequency, owner, last review); reporting to leadership; open compliance gaps + remediation plan + cash reserved for settlement risk</t>
  </si>
  <si>
    <t xml:space="preserve">Formal entitlement vs deployment reconciliation; quantifies risk</t>
  </si>
  <si>
    <t xml:space="preserve">PDFs + Excel</t>
  </si>
  <si>
    <t xml:space="preserve">SaaS subscriptions — seats vs active users — per app: seats purchased, assigned, active 30/60/90, annual cost, cost per active user, renewal date, auto-renewal, contract owner; departed employees still on seats; inactive seats &gt;60 days (reclaim); apps procured via expense / corporate card (shadow IT); overlapping tools; consumption tier exposure (API calls, storage, transactions); SaaS discovery / mgmt tool used; top 20 SaaS by spend with utilization detail</t>
  </si>
  <si>
    <t xml:space="preserve">Highest-impact area for cost savings findings</t>
  </si>
  <si>
    <t xml:space="preserve">Last vendor-led audit / SAM report — most recent vendor software audits (last 3 years), settlement amounts, remediation; internal SAM maturity assessment; SAM tool coverage report (% of estate, gaps); annual SAM report to leadership</t>
  </si>
  <si>
    <t xml:space="preserve">Prior audit findings indicate recurring risk; SAM maturity context</t>
  </si>
  <si>
    <t xml:space="preserve">PDF + Excel</t>
  </si>
  <si>
    <t xml:space="preserve">License procurement &amp; assignment process — request/approval/assignment workflow; approval matrix; assignment process (manual/group/automated); reclamation triggers; sample of 5-10 license requests during period with approval evidence; standard software catalog; non-catalog request process</t>
  </si>
  <si>
    <t xml:space="preserve">Control over license issuance</t>
  </si>
  <si>
    <t xml:space="preserve">PDF + samples</t>
  </si>
  <si>
    <t xml:space="preserve">IT budget vs actuals — current and prior year by entity and cost center; variance analysis with explanations for material variances; forecast vs actual trend</t>
  </si>
  <si>
    <t xml:space="preserve">Identify spend variances; scope spend testing</t>
  </si>
  <si>
    <t xml:space="preserve">IT general ledger detail — full GL extract for all IT cost centers / accounts for audit period; account mapping (which GL accounts roll to IT); entity dimension preserved</t>
  </si>
  <si>
    <t xml:space="preserve">Population for spend analytics and sampling</t>
  </si>
  <si>
    <t xml:space="preserve">Excel / GL export</t>
  </si>
  <si>
    <t xml:space="preserve">Top 20 IT vendors by spend — vendor name, annual spend, contract status, renewal date, business owner; linked contracts and POs; concentration analysis (% of total IT spend per vendor)</t>
  </si>
  <si>
    <t xml:space="preserve">Concentration risk; contract compliance</t>
  </si>
  <si>
    <t xml:space="preserve">Excel + PDF contracts</t>
  </si>
  <si>
    <t xml:space="preserve">PO and invoice approval workflow — approval matrix / DoA for IT spend; workflow doc (request → approve → PO → receipt → invoice → pay); system used (ERP module, Coupa, Ariba); 10-15 sample IT invoices with approval evidence + PO + 3-way match; exception process for unbudgeted / over-budget</t>
  </si>
  <si>
    <t xml:space="preserve">Test purchasing controls</t>
  </si>
  <si>
    <t xml:space="preserve">PDF + sample evidence</t>
  </si>
  <si>
    <t xml:space="preserve">Intercompany IT cost allocation — methodology (per user / revenue / headcount / fixed split / ABC); supporting calculations for current allocations; intercompany agreements / MSAs; consistency check across periods; transfer pricing (esp. cross-border); reconciliation total allocated = total cost</t>
  </si>
  <si>
    <t xml:space="preserve">Multi-entity allocation accuracy</t>
  </si>
  <si>
    <t xml:space="preserve">Excel + memo</t>
  </si>
  <si>
    <t xml:space="preserve">Capex vs Opex IT classification — capitalization policy (thresholds, useful life by asset class); recent capitalization decisions for IT (last 12 months); cloud / SaaS treatment under applicable accounting standard (IAS 38 / ASC 350-40, esp. configuration &amp; customization costs)</t>
  </si>
  <si>
    <t xml:space="preserve">Accounting treatment review</t>
  </si>
  <si>
    <t xml:space="preserve">PDF policy + sample decisions</t>
  </si>
  <si>
    <t xml:space="preserve">Shadow IT / unsanctioned spend — sample of expense reports / corporate card transactions for IT-related spend; SaaS discovery tool output (if any); process for detecting and onboarding/offboarding shadow IT</t>
  </si>
  <si>
    <t xml:space="preserve">Identify uncontrolled IT spend outside procurement</t>
  </si>
  <si>
    <t xml:space="preserve">Low-Medium</t>
  </si>
  <si>
    <t xml:space="preserve">Trust Services Criteria scope — confirmation of TSCs in scope (Security mandatory; +Availability / Confidentiality / Processing Integrity / Privacy); Type I or Type II target; audit period; service auditor (if engaged)</t>
  </si>
  <si>
    <t xml:space="preserve">Confirm SOC 2 scope</t>
  </si>
  <si>
    <t xml:space="preserve">Memo / email</t>
  </si>
  <si>
    <t xml:space="preserve">Existing control matrix mapped to TSC — control owner per control; test status / readiness assessment; gap remediation tracker</t>
  </si>
  <si>
    <t xml:space="preserve">Starting point for gap assessment</t>
  </si>
  <si>
    <t xml:space="preserve">System description draft — system boundaries (in-scope products/services); infrastructure; software; people; procedures (manual + automated); data (types, flows); sub-service organizations (carve-out vs inclusive); customer responsibilities (CUECs)</t>
  </si>
  <si>
    <t xml:space="preserve">Required SOC 2 deliverable foundation</t>
  </si>
  <si>
    <t xml:space="preserve">Word / PDF</t>
  </si>
  <si>
    <t xml:space="preserve">TSC-specific risk assessment — risk identification mapped to TSCs; likelihood / impact scoring; control mapping per risk</t>
  </si>
  <si>
    <t xml:space="preserve">Required by SOC 2 framework</t>
  </si>
  <si>
    <t xml:space="preserve">Excel / PDF</t>
  </si>
  <si>
    <t xml:space="preserve">Customer commitments and system requirements — SLAs in customer contracts (uptime, response time, data handling); contractual security commitments; privacy / data protection commitments; mapping commitments → controls</t>
  </si>
  <si>
    <t xml:space="preserve">TSC alignment with customer commitments</t>
  </si>
  <si>
    <t xml:space="preserve">PDF + matrix</t>
  </si>
  <si>
    <t xml:space="preserve">Data center / server room access — access list per facility (employees + vendors); access review evidence; provisioning/deprovisioning process; visitor logs sample; surveillance / camera coverage description</t>
  </si>
  <si>
    <t xml:space="preserve">Physical access controls (only if on-prem facilities exist)</t>
  </si>
  <si>
    <t xml:space="preserve">Environmental controls — UPS, generator, fire suppression, HVAC, water detection; maintenance / inspection records (last 12 months); environmental monitoring / alerting</t>
  </si>
  <si>
    <t xml:space="preserve">SOC 2 Availability (only if on-prem)</t>
  </si>
  <si>
    <t xml:space="preserve">PDF + photos</t>
  </si>
  <si>
    <t xml:space="preserve">System / Platform</t>
  </si>
  <si>
    <t xml:space="preserve">Access Type</t>
  </si>
  <si>
    <t xml:space="preserve">Role / Permissions Needed</t>
  </si>
  <si>
    <t xml:space="preserve">Recommended Method</t>
  </si>
  <si>
    <t xml:space="preserve">Justification</t>
  </si>
  <si>
    <t xml:space="preserve">Provisioned Date</t>
  </si>
  <si>
    <t xml:space="preserve">Microsoft Entra ID / M365</t>
  </si>
  <si>
    <t xml:space="preserve">Read-only console</t>
  </si>
  <si>
    <t xml:space="preserve">Global Reader</t>
  </si>
  <si>
    <t xml:space="preserve">Account in tenant</t>
  </si>
  <si>
    <t xml:space="preserve">Walkthroughs, screenshots, ad-hoc checks across multi-entity tenant</t>
  </si>
  <si>
    <t xml:space="preserve">Not Requested</t>
  </si>
  <si>
    <t xml:space="preserve">Microsoft Graph API</t>
  </si>
  <si>
    <t xml:space="preserve">Read-only programmatic</t>
  </si>
  <si>
    <t xml:space="preserve">Directory.Read.All, AuditLog.Read.All, Reports.Read.All, Policy.Read.All, User.Read.All, Group.Read.All, RoleManagement.Read.All</t>
  </si>
  <si>
    <t xml:space="preserve">App registration with client credentials</t>
  </si>
  <si>
    <t xml:space="preserve">Bulk user/license/MFA/sign-in extraction across entities — essential for licensing scope</t>
  </si>
  <si>
    <t xml:space="preserve">Active Directory (on-prem, if any)</t>
  </si>
  <si>
    <t xml:space="preserve">Read-only</t>
  </si>
  <si>
    <t xml:space="preserve">Domain Users + read on OUs</t>
  </si>
  <si>
    <t xml:space="preserve">Domain account</t>
  </si>
  <si>
    <t xml:space="preserve">AD queries / PowerShell read commands</t>
  </si>
  <si>
    <t xml:space="preserve">Microsoft 365 Admin Center</t>
  </si>
  <si>
    <t xml:space="preserve">Same as Entra account</t>
  </si>
  <si>
    <t xml:space="preserve">License assignments, mailbox stats</t>
  </si>
  <si>
    <t xml:space="preserve">Microsoft Purview / Compliance</t>
  </si>
  <si>
    <t xml:space="preserve">Compliance Data Reader / Reader</t>
  </si>
  <si>
    <t xml:space="preserve">Account</t>
  </si>
  <si>
    <t xml:space="preserve">Audit log search, DLP config, retention policies</t>
  </si>
  <si>
    <t xml:space="preserve">Microsoft Defender / Security portal</t>
  </si>
  <si>
    <t xml:space="preserve">Security Reader</t>
  </si>
  <si>
    <t xml:space="preserve">Endpoint, identity, email security posture</t>
  </si>
  <si>
    <t xml:space="preserve">Azure (subscriptions in scope)</t>
  </si>
  <si>
    <t xml:space="preserve">Reader at Mgmt Group / Subscription</t>
  </si>
  <si>
    <t xml:space="preserve">Account or service principal</t>
  </si>
  <si>
    <t xml:space="preserve">Resource inventory, RBAC review, policy compliance</t>
  </si>
  <si>
    <t xml:space="preserve">AWS (if applicable)</t>
  </si>
  <si>
    <t xml:space="preserve">ReadOnlyAccess + SecurityAudit (managed)</t>
  </si>
  <si>
    <t xml:space="preserve">IAM user with MFA, or SSO</t>
  </si>
  <si>
    <t xml:space="preserve">Cloud configuration review</t>
  </si>
  <si>
    <t xml:space="preserve">GCP (if applicable)</t>
  </si>
  <si>
    <t xml:space="preserve">Viewer + Security Reviewer</t>
  </si>
  <si>
    <t xml:space="preserve">Ticketing system (ServiceNow / Jira)</t>
  </si>
  <si>
    <t xml:space="preserve">Auditor / Reader role</t>
  </si>
  <si>
    <t xml:space="preserve">Pull change and incident populations, sample tickets</t>
  </si>
  <si>
    <t xml:space="preserve">SIEM / Log management</t>
  </si>
  <si>
    <t xml:space="preserve">Reader</t>
  </si>
  <si>
    <t xml:space="preserve">Verify monitoring, retention, sample alerts</t>
  </si>
  <si>
    <t xml:space="preserve">In-scope ERP / Finance system</t>
  </si>
  <si>
    <t xml:space="preserve">Auditor role with read on all modules</t>
  </si>
  <si>
    <t xml:space="preserve">GL pull for IT spend, vendor master, PO data</t>
  </si>
  <si>
    <t xml:space="preserve">HRIS</t>
  </si>
  <si>
    <t xml:space="preserve">Read-only or extract</t>
  </si>
  <si>
    <t xml:space="preserve">Reader / extract privilege</t>
  </si>
  <si>
    <t xml:space="preserve">Account or one-time export</t>
  </si>
  <si>
    <t xml:space="preserve">Active employee listing for access reconciliation</t>
  </si>
  <si>
    <t xml:space="preserve">Document repository (SharePoint / Confluence / Notion)</t>
  </si>
  <si>
    <t xml:space="preserve">Read access to IT/audit folder</t>
  </si>
  <si>
    <t xml:space="preserve">Policies, evidence, PBC dropbox</t>
  </si>
  <si>
    <t xml:space="preserve">Secure file share for evidence</t>
  </si>
  <si>
    <t xml:space="preserve">Read/write to dedicated audit folder</t>
  </si>
  <si>
    <t xml:space="preserve">Owner of audit folder</t>
  </si>
  <si>
    <t xml:space="preserve">SharePoint site / Egnyte / Box / equivalent</t>
  </si>
  <si>
    <t xml:space="preserve">Centralized evidence collection — TBD whether client provisions or auditor does</t>
  </si>
  <si>
    <t xml:space="preserve">Code repository (GitHub / GitLab / Azure DevOps)</t>
  </si>
  <si>
    <t xml:space="preserve">Reader on org</t>
  </si>
  <si>
    <t xml:space="preserve">Verify Dev/Prod separation, deployment evidence</t>
  </si>
  <si>
    <t xml:space="preserve">Vulnerability scanner (Qualys / Tenable / Rapid7)</t>
  </si>
  <si>
    <t xml:space="preserve">Pull scan reports directly</t>
  </si>
  <si>
    <t xml:space="preserve">Endpoint / EDR console</t>
  </si>
  <si>
    <t xml:space="preserve">Coverage and detection evidence</t>
  </si>
  <si>
    <t xml:space="preserve">SAM / License mgmt tool (Flexera / Snow / etc.)</t>
  </si>
  <si>
    <t xml:space="preserve">License inventory and utilization</t>
  </si>
  <si>
    <t xml:space="preserve">Process Area</t>
  </si>
  <si>
    <t xml:space="preserve">Key Topics</t>
  </si>
  <si>
    <t xml:space="preserve">Client Attendees Needed</t>
  </si>
  <si>
    <t xml:space="preserve">Proposed Date</t>
  </si>
  <si>
    <t xml:space="preserve">Duration (min)</t>
  </si>
  <si>
    <t xml:space="preserve">Kickoff</t>
  </si>
  <si>
    <t xml:space="preserve">Scope, objectives, timeline, communication, PBC list walkthrough</t>
  </si>
  <si>
    <t xml:space="preserve">CIO / IT Director, audit sponsor, project mgr</t>
  </si>
  <si>
    <t xml:space="preserve">Not Scheduled</t>
  </si>
  <si>
    <t xml:space="preserve">Entity &amp; system scoping</t>
  </si>
  <si>
    <t xml:space="preserve">Entities in scope, shared services, application inventory, network architecture</t>
  </si>
  <si>
    <t xml:space="preserve">IT Director, Enterprise Architect</t>
  </si>
  <si>
    <t xml:space="preserve">Logical access</t>
  </si>
  <si>
    <t xml:space="preserve">Provisioning, deprovisioning, access reviews, privileged access, MFA, JML</t>
  </si>
  <si>
    <t xml:space="preserve">IAM lead, HR contact</t>
  </si>
  <si>
    <t xml:space="preserve">Change management</t>
  </si>
  <si>
    <t xml:space="preserve">Change workflow, approvals, dev/prod separation, emergency changes, source control</t>
  </si>
  <si>
    <t xml:space="preserve">Change manager, DevOps lead</t>
  </si>
  <si>
    <t xml:space="preserve">IT operations</t>
  </si>
  <si>
    <t xml:space="preserve">Backups, monitoring, incident response, patching, vulnerability mgmt</t>
  </si>
  <si>
    <t xml:space="preserve">Ops manager, SecOps</t>
  </si>
  <si>
    <t xml:space="preserve">Cloud &amp; infrastructure</t>
  </si>
  <si>
    <t xml:space="preserve">M365/Azure/AWS configuration, network, segmentation, CSPM</t>
  </si>
  <si>
    <t xml:space="preserve">Cloud architect, network lead</t>
  </si>
  <si>
    <t xml:space="preserve">Vendor &amp; third party</t>
  </si>
  <si>
    <t xml:space="preserve">Vendor onboarding, SOC report review, contract management</t>
  </si>
  <si>
    <t xml:space="preserve">Procurement, Vendor Risk</t>
  </si>
  <si>
    <t xml:space="preserve">License procurement, assignment, true-up process, SAM tooling, SaaS sprawl</t>
  </si>
  <si>
    <t xml:space="preserve">IT Asset Manager, Procurement</t>
  </si>
  <si>
    <t xml:space="preserve">IT spend</t>
  </si>
  <si>
    <t xml:space="preserve">Budgeting, PO/invoice approval, intercompany allocation, capex/opex</t>
  </si>
  <si>
    <t xml:space="preserve">IT Finance / Controller</t>
  </si>
  <si>
    <t xml:space="preserve">Physical &amp; environmental</t>
  </si>
  <si>
    <t xml:space="preserve">Data center access, environmental controls (if on-prem)</t>
  </si>
  <si>
    <t xml:space="preserve">Facilities / IT Ops</t>
  </si>
  <si>
    <t xml:space="preserve">SOC 2 readiness</t>
  </si>
  <si>
    <t xml:space="preserve">Trust criteria scope, system description, control matrix, gap status</t>
  </si>
  <si>
    <t xml:space="preserve">CISO / Compliance lead</t>
  </si>
  <si>
    <t xml:space="preserve">Legal Entity</t>
  </si>
  <si>
    <t xml:space="preserve">Country / Location</t>
  </si>
  <si>
    <t xml:space="preserve">IT Model (Centralized / Hybrid / Standalone)</t>
  </si>
  <si>
    <t xml:space="preserve">Key Applications</t>
  </si>
  <si>
    <t xml:space="preserve">Hosting (Cloud / On-Prem)</t>
  </si>
  <si>
    <t xml:space="preserve">Headcount</t>
  </si>
  <si>
    <t xml:space="preserve">In Scope (Y/N)</t>
  </si>
  <si>
    <t xml:space="preserve">Rationale</t>
  </si>
  <si>
    <t xml:space="preserve">Control Area</t>
  </si>
  <si>
    <t xml:space="preserve">Control Description</t>
  </si>
  <si>
    <t xml:space="preserve">Population Source</t>
  </si>
  <si>
    <t xml:space="preserve">Population Size</t>
  </si>
  <si>
    <t xml:space="preserve">Sample Size</t>
  </si>
  <si>
    <t xml:space="preserve">Sampling Method</t>
  </si>
  <si>
    <t xml:space="preserve">Test Status</t>
  </si>
  <si>
    <t xml:space="preserve">Findings Summary</t>
  </si>
  <si>
    <t xml:space="preserve">Access — Joiner</t>
  </si>
  <si>
    <t xml:space="preserve">New users provisioned with appropriate approval and access</t>
  </si>
  <si>
    <t xml:space="preserve">HR new hires during period</t>
  </si>
  <si>
    <t xml:space="preserve">Random / Judgmental</t>
  </si>
  <si>
    <t xml:space="preserve">Access — Leaver</t>
  </si>
  <si>
    <t xml:space="preserve">Terminated users disabled timely (target SLA)</t>
  </si>
  <si>
    <t xml:space="preserve">HR terminations during period</t>
  </si>
  <si>
    <t xml:space="preserve">Full population if small, else random</t>
  </si>
  <si>
    <t xml:space="preserve">Access — Mover</t>
  </si>
  <si>
    <t xml:space="preserve">Role changes reflected in access timely</t>
  </si>
  <si>
    <t xml:space="preserve">HR role change report</t>
  </si>
  <si>
    <t xml:space="preserve">Random</t>
  </si>
  <si>
    <t xml:space="preserve">Access — Privileged</t>
  </si>
  <si>
    <t xml:space="preserve">Privileged access approved and reviewed periodically</t>
  </si>
  <si>
    <t xml:space="preserve">Privileged user list</t>
  </si>
  <si>
    <t xml:space="preserve">Full population</t>
  </si>
  <si>
    <t xml:space="preserve">Access — Periodic Review</t>
  </si>
  <si>
    <t xml:space="preserve">Access review completed and exceptions remediated</t>
  </si>
  <si>
    <t xml:space="preserve">Review evidence per system</t>
  </si>
  <si>
    <t xml:space="preserve">Full population of reviews</t>
  </si>
  <si>
    <t xml:space="preserve">Change Mgmt — Standard</t>
  </si>
  <si>
    <t xml:space="preserve">Changes approved, tested, deployed per process</t>
  </si>
  <si>
    <t xml:space="preserve">Change ticket export</t>
  </si>
  <si>
    <t xml:space="preserve">Random — risk-based</t>
  </si>
  <si>
    <t xml:space="preserve">Change Mgmt — Emergency</t>
  </si>
  <si>
    <t xml:space="preserve">Emergency changes have post-deployment approval</t>
  </si>
  <si>
    <t xml:space="preserve">Emergency change subset</t>
  </si>
  <si>
    <t xml:space="preserve">Full population if low volume</t>
  </si>
  <si>
    <t xml:space="preserve">Backup</t>
  </si>
  <si>
    <t xml:space="preserve">Backups complete successfully and restores tested</t>
  </si>
  <si>
    <t xml:space="preserve">Backup job logs / restore tickets</t>
  </si>
  <si>
    <t xml:space="preserve">Random per month</t>
  </si>
  <si>
    <t xml:space="preserve">Incident Mgmt</t>
  </si>
  <si>
    <t xml:space="preserve">Incidents logged, classified, resolved within SLA</t>
  </si>
  <si>
    <t xml:space="preserve">Incident log</t>
  </si>
  <si>
    <t xml:space="preserve">Random risk-based</t>
  </si>
  <si>
    <t xml:space="preserve">Patch Mgmt</t>
  </si>
  <si>
    <t xml:space="preserve">Patches deployed within SLA</t>
  </si>
  <si>
    <t xml:space="preserve">Patch reports / scan results</t>
  </si>
  <si>
    <t xml:space="preserve">Vulnerability Mgmt</t>
  </si>
  <si>
    <t xml:space="preserve">Critical/high vulns remediated within SLA</t>
  </si>
  <si>
    <t xml:space="preserve">Scan reports</t>
  </si>
  <si>
    <t xml:space="preserve">All criticals + sample of highs</t>
  </si>
  <si>
    <t xml:space="preserve">Vendor Mgmt</t>
  </si>
  <si>
    <t xml:space="preserve">New vendors risk-assessed and SOC reports reviewed</t>
  </si>
  <si>
    <t xml:space="preserve">Vendor onboarding list</t>
  </si>
  <si>
    <t xml:space="preserve">License Compliance</t>
  </si>
  <si>
    <t xml:space="preserve">Licenses purchased ≥ deployed; usage justifies seats</t>
  </si>
  <si>
    <t xml:space="preserve">License inventory + usage report</t>
  </si>
  <si>
    <t xml:space="preserve">Top spend products</t>
  </si>
  <si>
    <t xml:space="preserve">IT Spend — Invoices</t>
  </si>
  <si>
    <t xml:space="preserve">3-way match and approval evidence</t>
  </si>
  <si>
    <t xml:space="preserve">GL / AP detail</t>
  </si>
  <si>
    <t xml:space="preserve">Random — stratified by amount</t>
  </si>
  <si>
    <t xml:space="preserve">IT Spend — Allocation</t>
  </si>
  <si>
    <t xml:space="preserve">Intercompany allocations accurate and consistent</t>
  </si>
  <si>
    <t xml:space="preserve">Allocation calc + GL</t>
  </si>
  <si>
    <t xml:space="preserve">Recalculate</t>
  </si>
  <si>
    <t xml:space="preserve">Training</t>
  </si>
  <si>
    <t xml:space="preserve">Required security training completed per period</t>
  </si>
  <si>
    <t xml:space="preserve">LMS export</t>
  </si>
  <si>
    <t xml:space="preserve">Random sample of staff</t>
  </si>
  <si>
    <t xml:space="preserve">AUDIT REQUEST CATEGORIES</t>
  </si>
  <si>
    <t xml:space="preserve">Reference of how the 55 PBC items are organized</t>
  </si>
  <si>
    <t xml:space="preserve"># Items</t>
  </si>
  <si>
    <t xml:space="preserve">Coverage</t>
  </si>
  <si>
    <t xml:space="preserve">Org structure, policies, risk, audit history, strategy, training</t>
  </si>
  <si>
    <t xml:space="preserve">Multi-entity scoping, applications, network, cloud/SaaS, assets, domains/certs</t>
  </si>
  <si>
    <t xml:space="preserve">Identity dump, privileged users, HR reconciliation, JML, access reviews, service accounts, authentication</t>
  </si>
  <si>
    <t xml:space="preserve">Change population, procedure, emergency changes, dev/prod segregation, code repos</t>
  </si>
  <si>
    <t xml:space="preserve">Backups, incidents, monitoring, patching, vulnerabilities, AV/EDR, BCP/DR</t>
  </si>
  <si>
    <t xml:space="preserve">Vendor inventory, assurance reports, onboarding/DD, contracts/DPAs</t>
  </si>
  <si>
    <t xml:space="preserve">License inventory &amp; optimization, true-ups, SaaS seats, prior audits, procurement</t>
  </si>
  <si>
    <t xml:space="preserve">Budget vs actual, GL detail, top vendors, PO/invoice approval, intercompany, capex/opex, shadow IT</t>
  </si>
  <si>
    <t xml:space="preserve">TSC scope, control matrix, system description, risk assessment, customer commitments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</si>
</sst>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8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1F4E78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22"/>
      <color rgb="FF1F4E78"/>
      <name val="Arial"/>
      <family val="0"/>
      <charset val="1"/>
    </font>
    <font>
      <b val="true"/>
      <sz val="22"/>
      <color rgb="FF548235"/>
      <name val="Arial"/>
      <family val="0"/>
      <charset val="1"/>
    </font>
    <font>
      <b val="true"/>
      <sz val="22"/>
      <color rgb="FFBF8F00"/>
      <name val="Arial"/>
      <family val="0"/>
      <charset val="1"/>
    </font>
    <font>
      <b val="true"/>
      <sz val="22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  <col collapsed="false" customWidth="true" hidden="false" outlineLevel="0" max="3" min="3" style="0" width="4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4" t="s">
        <v>8</v>
      </c>
    </row>
    <row r="12" customFormat="false" ht="15" hidden="false" customHeight="false" outlineLevel="0" collapsed="false">
      <c r="B12" s="4" t="s">
        <v>9</v>
      </c>
    </row>
    <row r="14" customFormat="false" ht="1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4" t="s">
        <v>13</v>
      </c>
    </row>
    <row r="18" customFormat="false" ht="15" hidden="false" customHeight="false" outlineLevel="0" collapsed="false">
      <c r="B18" s="4" t="s">
        <v>14</v>
      </c>
    </row>
    <row r="19" customFormat="false" ht="15" hidden="false" customHeight="false" outlineLevel="0" collapsed="false">
      <c r="B19" s="4" t="s">
        <v>15</v>
      </c>
    </row>
    <row r="20" customFormat="false" ht="15" hidden="false" customHeight="false" outlineLevel="0" collapsed="false">
      <c r="B20" s="4" t="s">
        <v>16</v>
      </c>
    </row>
    <row r="21" customFormat="false" ht="15" hidden="false" customHeight="false" outlineLevel="0" collapsed="false">
      <c r="B21" s="4" t="s">
        <v>17</v>
      </c>
    </row>
    <row r="23" customFormat="false" ht="15" hidden="false" customHeight="false" outlineLevel="0" collapsed="false">
      <c r="B23" s="3" t="s">
        <v>18</v>
      </c>
    </row>
    <row r="24" customFormat="false" ht="15" hidden="false" customHeight="false" outlineLevel="0" collapsed="false">
      <c r="B24" s="4" t="s">
        <v>19</v>
      </c>
    </row>
    <row r="25" customFormat="false" ht="15" hidden="false" customHeight="false" outlineLevel="0" collapsed="false">
      <c r="B25" s="4" t="s">
        <v>20</v>
      </c>
    </row>
    <row r="26" customFormat="false" ht="15" hidden="false" customHeight="false" outlineLevel="0" collapsed="false">
      <c r="B26" s="4" t="s">
        <v>21</v>
      </c>
    </row>
    <row r="27" customFormat="false" ht="15" hidden="false" customHeight="false" outlineLevel="0" collapsed="false">
      <c r="B27" s="4" t="s">
        <v>22</v>
      </c>
    </row>
    <row r="28" customFormat="false" ht="15" hidden="false" customHeight="false" outlineLevel="0" collapsed="false">
      <c r="B28" s="4" t="s">
        <v>23</v>
      </c>
    </row>
    <row r="29" customFormat="false" ht="15" hidden="false" customHeight="false" outlineLevel="0" collapsed="false">
      <c r="B29" s="4" t="s">
        <v>24</v>
      </c>
    </row>
    <row r="30" customFormat="false" ht="15" hidden="false" customHeight="false" outlineLevel="0" collapsed="false">
      <c r="B30" s="4" t="s">
        <v>25</v>
      </c>
    </row>
    <row r="31" customFormat="false" ht="15" hidden="false" customHeight="false" outlineLevel="0" collapsed="false">
      <c r="B31" s="4" t="s">
        <v>26</v>
      </c>
    </row>
    <row r="33" customFormat="false" ht="15" hidden="false" customHeight="false" outlineLevel="0" collapsed="false">
      <c r="B33" s="3" t="s">
        <v>27</v>
      </c>
    </row>
    <row r="34" customFormat="false" ht="15" hidden="false" customHeight="false" outlineLevel="0" collapsed="false">
      <c r="B34" s="4" t="s">
        <v>28</v>
      </c>
    </row>
    <row r="35" customFormat="false" ht="15" hidden="false" customHeight="false" outlineLevel="0" collapsed="false">
      <c r="B35" s="4" t="s">
        <v>29</v>
      </c>
    </row>
    <row r="36" customFormat="false" ht="15" hidden="false" customHeight="false" outlineLevel="0" collapsed="false">
      <c r="B36" s="4" t="s">
        <v>30</v>
      </c>
    </row>
    <row r="37" customFormat="false" ht="15" hidden="false" customHeight="false" outlineLevel="0" collapsed="false">
      <c r="B37" s="4" t="s">
        <v>31</v>
      </c>
    </row>
    <row r="38" customFormat="false" ht="15" hidden="false" customHeight="false" outlineLevel="0" collapsed="false">
      <c r="B38" s="4" t="s">
        <v>32</v>
      </c>
    </row>
    <row r="39" customFormat="false" ht="15" hidden="false" customHeight="false" outlineLevel="0" collapsed="false">
      <c r="B39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7" min="2" style="0" width="18"/>
  </cols>
  <sheetData>
    <row r="2" customFormat="false" ht="22.05" hidden="false" customHeight="false" outlineLevel="0" collapsed="false">
      <c r="B2" s="5" t="s">
        <v>34</v>
      </c>
    </row>
    <row r="3" customFormat="false" ht="15" hidden="false" customHeight="false" outlineLevel="0" collapsed="false">
      <c r="B3" s="2" t="s">
        <v>35</v>
      </c>
    </row>
    <row r="5" customFormat="false" ht="23.85" hidden="false" customHeight="false" outlineLevel="0" collapsed="false">
      <c r="B5" s="6" t="s">
        <v>36</v>
      </c>
      <c r="C5" s="6" t="s">
        <v>37</v>
      </c>
      <c r="D5" s="6" t="s">
        <v>38</v>
      </c>
      <c r="E5" s="6" t="s">
        <v>39</v>
      </c>
      <c r="F5" s="6" t="s">
        <v>40</v>
      </c>
      <c r="G5" s="6" t="s">
        <v>41</v>
      </c>
    </row>
    <row r="6" customFormat="false" ht="26.8" hidden="false" customHeight="false" outlineLevel="0" collapsed="false">
      <c r="B6" s="7" t="n">
        <v>55</v>
      </c>
      <c r="C6" s="8" t="n">
        <f aca="false">COUNTIF('PBC List'!H2:H56,"Received")+COUNTIF('PBC List'!H2:H56,"Reviewed")</f>
        <v>0</v>
      </c>
      <c r="D6" s="9" t="n">
        <f aca="false">COUNTIF('PBC List'!H2:H56,"In Progress")+COUNTIF('PBC List'!H2:H56,"Requested")</f>
        <v>0</v>
      </c>
      <c r="E6" s="10" t="n">
        <f aca="false">COUNTIF('PBC List'!H2:H56,"Not Started")</f>
        <v>55</v>
      </c>
      <c r="F6" s="11" t="n">
        <f aca="false">IFERROR((COUNTIF('PBC List'!H2:H56,"Received")+COUNTIF('PBC List'!H2:H56,"Reviewed"))/(COUNTA('PBC List'!H2:H56)-COUNTIF('PBC List'!H2:H56,"N/A")),0)</f>
        <v>0</v>
      </c>
      <c r="G6" s="10" t="n">
        <f aca="false">COUNTIFS('PBC List'!F2:F56,"High",'PBC List'!H2:H56,"&lt;&gt;Received",'PBC List'!H2:H56,"&lt;&gt;Reviewed",'PBC List'!H2:H56,"&lt;&gt;N/A")</f>
        <v>31</v>
      </c>
    </row>
    <row r="9" customFormat="false" ht="15" hidden="false" customHeight="false" outlineLevel="0" collapsed="false">
      <c r="B9" s="3" t="s">
        <v>42</v>
      </c>
    </row>
    <row r="10" customFormat="false" ht="24" hidden="false" customHeight="true" outlineLevel="0" collapsed="false">
      <c r="B10" s="12" t="s">
        <v>43</v>
      </c>
      <c r="C10" s="12" t="s">
        <v>44</v>
      </c>
      <c r="D10" s="12" t="s">
        <v>45</v>
      </c>
      <c r="E10" s="12" t="s">
        <v>46</v>
      </c>
      <c r="F10" s="12" t="s">
        <v>47</v>
      </c>
      <c r="G10" s="12" t="s">
        <v>48</v>
      </c>
    </row>
    <row r="11" customFormat="false" ht="15" hidden="false" customHeight="false" outlineLevel="0" collapsed="false">
      <c r="B11" s="13" t="s">
        <v>49</v>
      </c>
      <c r="C11" s="14" t="n">
        <f aca="false">COUNTIF('PBC List'!B2:B56,B11)</f>
        <v>7</v>
      </c>
      <c r="D11" s="14" t="n">
        <f aca="false">COUNTIFS('PBC List'!B2:B56,B11,'PBC List'!H2:H56,"Received")+COUNTIFS('PBC List'!B2:B56,B11,'PBC List'!H2:H56,"Reviewed")</f>
        <v>0</v>
      </c>
      <c r="E11" s="14" t="n">
        <f aca="false">COUNTIFS('PBC List'!B2:B56,B11,'PBC List'!H2:H56,"In Progress")+COUNTIFS('PBC List'!B2:B56,B11,'PBC List'!H2:H56,"Requested")</f>
        <v>0</v>
      </c>
      <c r="F11" s="14" t="n">
        <f aca="false">COUNTIFS('PBC List'!B2:B56,B11,'PBC List'!H2:H56,"Not Started")</f>
        <v>7</v>
      </c>
      <c r="G11" s="15" t="n">
        <f aca="false">IFERROR(D11/(C11-COUNTIFS('PBC List'!B2:B56,B11,'PBC List'!H2:H56,"N/A")),0)</f>
        <v>0</v>
      </c>
    </row>
    <row r="12" customFormat="false" ht="15" hidden="false" customHeight="false" outlineLevel="0" collapsed="false">
      <c r="B12" s="13" t="s">
        <v>50</v>
      </c>
      <c r="C12" s="14" t="n">
        <f aca="false">COUNTIF('PBC List'!B2:B56,B12)</f>
        <v>6</v>
      </c>
      <c r="D12" s="14" t="n">
        <f aca="false">COUNTIFS('PBC List'!B2:B56,B12,'PBC List'!H2:H56,"Received")+COUNTIFS('PBC List'!B2:B56,B12,'PBC List'!H2:H56,"Reviewed")</f>
        <v>0</v>
      </c>
      <c r="E12" s="14" t="n">
        <f aca="false">COUNTIFS('PBC List'!B2:B56,B12,'PBC List'!H2:H56,"In Progress")+COUNTIFS('PBC List'!B2:B56,B12,'PBC List'!H2:H56,"Requested")</f>
        <v>0</v>
      </c>
      <c r="F12" s="14" t="n">
        <f aca="false">COUNTIFS('PBC List'!B2:B56,B12,'PBC List'!H2:H56,"Not Started")</f>
        <v>6</v>
      </c>
      <c r="G12" s="15" t="n">
        <f aca="false">IFERROR(D12/(C12-COUNTIFS('PBC List'!B2:B56,B12,'PBC List'!H2:H56,"N/A")),0)</f>
        <v>0</v>
      </c>
    </row>
    <row r="13" customFormat="false" ht="23.85" hidden="false" customHeight="false" outlineLevel="0" collapsed="false">
      <c r="B13" s="13" t="s">
        <v>51</v>
      </c>
      <c r="C13" s="14" t="n">
        <f aca="false">COUNTIF('PBC List'!B2:B56,B13)</f>
        <v>7</v>
      </c>
      <c r="D13" s="14" t="n">
        <f aca="false">COUNTIFS('PBC List'!B2:B56,B13,'PBC List'!H2:H56,"Received")+COUNTIFS('PBC List'!B2:B56,B13,'PBC List'!H2:H56,"Reviewed")</f>
        <v>0</v>
      </c>
      <c r="E13" s="14" t="n">
        <f aca="false">COUNTIFS('PBC List'!B2:B56,B13,'PBC List'!H2:H56,"In Progress")+COUNTIFS('PBC List'!B2:B56,B13,'PBC List'!H2:H56,"Requested")</f>
        <v>0</v>
      </c>
      <c r="F13" s="14" t="n">
        <f aca="false">COUNTIFS('PBC List'!B2:B56,B13,'PBC List'!H2:H56,"Not Started")</f>
        <v>7</v>
      </c>
      <c r="G13" s="15" t="n">
        <f aca="false">IFERROR(D13/(C13-COUNTIFS('PBC List'!B2:B56,B13,'PBC List'!H2:H56,"N/A")),0)</f>
        <v>0</v>
      </c>
    </row>
    <row r="14" customFormat="false" ht="23.85" hidden="false" customHeight="false" outlineLevel="0" collapsed="false">
      <c r="B14" s="13" t="s">
        <v>52</v>
      </c>
      <c r="C14" s="14" t="n">
        <f aca="false">COUNTIF('PBC List'!B2:B56,B14)</f>
        <v>5</v>
      </c>
      <c r="D14" s="14" t="n">
        <f aca="false">COUNTIFS('PBC List'!B2:B56,B14,'PBC List'!H2:H56,"Received")+COUNTIFS('PBC List'!B2:B56,B14,'PBC List'!H2:H56,"Reviewed")</f>
        <v>0</v>
      </c>
      <c r="E14" s="14" t="n">
        <f aca="false">COUNTIFS('PBC List'!B2:B56,B14,'PBC List'!H2:H56,"In Progress")+COUNTIFS('PBC List'!B2:B56,B14,'PBC List'!H2:H56,"Requested")</f>
        <v>0</v>
      </c>
      <c r="F14" s="14" t="n">
        <f aca="false">COUNTIFS('PBC List'!B2:B56,B14,'PBC List'!H2:H56,"Not Started")</f>
        <v>5</v>
      </c>
      <c r="G14" s="15" t="n">
        <f aca="false">IFERROR(D14/(C14-COUNTIFS('PBC List'!B2:B56,B14,'PBC List'!H2:H56,"N/A")),0)</f>
        <v>0</v>
      </c>
    </row>
    <row r="15" customFormat="false" ht="15" hidden="false" customHeight="false" outlineLevel="0" collapsed="false">
      <c r="B15" s="13" t="s">
        <v>53</v>
      </c>
      <c r="C15" s="14" t="n">
        <f aca="false">COUNTIF('PBC List'!B2:B56,B15)</f>
        <v>7</v>
      </c>
      <c r="D15" s="14" t="n">
        <f aca="false">COUNTIFS('PBC List'!B2:B56,B15,'PBC List'!H2:H56,"Received")+COUNTIFS('PBC List'!B2:B56,B15,'PBC List'!H2:H56,"Reviewed")</f>
        <v>0</v>
      </c>
      <c r="E15" s="14" t="n">
        <f aca="false">COUNTIFS('PBC List'!B2:B56,B15,'PBC List'!H2:H56,"In Progress")+COUNTIFS('PBC List'!B2:B56,B15,'PBC List'!H2:H56,"Requested")</f>
        <v>0</v>
      </c>
      <c r="F15" s="14" t="n">
        <f aca="false">COUNTIFS('PBC List'!B2:B56,B15,'PBC List'!H2:H56,"Not Started")</f>
        <v>7</v>
      </c>
      <c r="G15" s="15" t="n">
        <f aca="false">IFERROR(D15/(C15-COUNTIFS('PBC List'!B2:B56,B15,'PBC List'!H2:H56,"N/A")),0)</f>
        <v>0</v>
      </c>
    </row>
    <row r="16" customFormat="false" ht="15" hidden="false" customHeight="false" outlineLevel="0" collapsed="false">
      <c r="B16" s="13" t="s">
        <v>54</v>
      </c>
      <c r="C16" s="14" t="n">
        <f aca="false">COUNTIF('PBC List'!B2:B56,B16)</f>
        <v>4</v>
      </c>
      <c r="D16" s="14" t="n">
        <f aca="false">COUNTIFS('PBC List'!B2:B56,B16,'PBC List'!H2:H56,"Received")+COUNTIFS('PBC List'!B2:B56,B16,'PBC List'!H2:H56,"Reviewed")</f>
        <v>0</v>
      </c>
      <c r="E16" s="14" t="n">
        <f aca="false">COUNTIFS('PBC List'!B2:B56,B16,'PBC List'!H2:H56,"In Progress")+COUNTIFS('PBC List'!B2:B56,B16,'PBC List'!H2:H56,"Requested")</f>
        <v>0</v>
      </c>
      <c r="F16" s="14" t="n">
        <f aca="false">COUNTIFS('PBC List'!B2:B56,B16,'PBC List'!H2:H56,"Not Started")</f>
        <v>4</v>
      </c>
      <c r="G16" s="15" t="n">
        <f aca="false">IFERROR(D16/(C16-COUNTIFS('PBC List'!B2:B56,B16,'PBC List'!H2:H56,"N/A")),0)</f>
        <v>0</v>
      </c>
    </row>
    <row r="17" customFormat="false" ht="15" hidden="false" customHeight="false" outlineLevel="0" collapsed="false">
      <c r="B17" s="13" t="s">
        <v>55</v>
      </c>
      <c r="C17" s="14" t="n">
        <f aca="false">COUNTIF('PBC List'!B2:B56,B17)</f>
        <v>5</v>
      </c>
      <c r="D17" s="14" t="n">
        <f aca="false">COUNTIFS('PBC List'!B2:B56,B17,'PBC List'!H2:H56,"Received")+COUNTIFS('PBC List'!B2:B56,B17,'PBC List'!H2:H56,"Reviewed")</f>
        <v>0</v>
      </c>
      <c r="E17" s="14" t="n">
        <f aca="false">COUNTIFS('PBC List'!B2:B56,B17,'PBC List'!H2:H56,"In Progress")+COUNTIFS('PBC List'!B2:B56,B17,'PBC List'!H2:H56,"Requested")</f>
        <v>0</v>
      </c>
      <c r="F17" s="14" t="n">
        <f aca="false">COUNTIFS('PBC List'!B2:B56,B17,'PBC List'!H2:H56,"Not Started")</f>
        <v>5</v>
      </c>
      <c r="G17" s="15" t="n">
        <f aca="false">IFERROR(D17/(C17-COUNTIFS('PBC List'!B2:B56,B17,'PBC List'!H2:H56,"N/A")),0)</f>
        <v>0</v>
      </c>
    </row>
    <row r="18" customFormat="false" ht="15" hidden="false" customHeight="false" outlineLevel="0" collapsed="false">
      <c r="B18" s="13" t="s">
        <v>56</v>
      </c>
      <c r="C18" s="14" t="n">
        <f aca="false">COUNTIF('PBC List'!B2:B56,B18)</f>
        <v>7</v>
      </c>
      <c r="D18" s="14" t="n">
        <f aca="false">COUNTIFS('PBC List'!B2:B56,B18,'PBC List'!H2:H56,"Received")+COUNTIFS('PBC List'!B2:B56,B18,'PBC List'!H2:H56,"Reviewed")</f>
        <v>0</v>
      </c>
      <c r="E18" s="14" t="n">
        <f aca="false">COUNTIFS('PBC List'!B2:B56,B18,'PBC List'!H2:H56,"In Progress")+COUNTIFS('PBC List'!B2:B56,B18,'PBC List'!H2:H56,"Requested")</f>
        <v>0</v>
      </c>
      <c r="F18" s="14" t="n">
        <f aca="false">COUNTIFS('PBC List'!B2:B56,B18,'PBC List'!H2:H56,"Not Started")</f>
        <v>7</v>
      </c>
      <c r="G18" s="15" t="n">
        <f aca="false">IFERROR(D18/(C18-COUNTIFS('PBC List'!B2:B56,B18,'PBC List'!H2:H56,"N/A")),0)</f>
        <v>0</v>
      </c>
    </row>
    <row r="19" customFormat="false" ht="15" hidden="false" customHeight="false" outlineLevel="0" collapsed="false">
      <c r="B19" s="13" t="s">
        <v>57</v>
      </c>
      <c r="C19" s="14" t="n">
        <f aca="false">COUNTIF('PBC List'!B2:B56,B19)</f>
        <v>5</v>
      </c>
      <c r="D19" s="14" t="n">
        <f aca="false">COUNTIFS('PBC List'!B2:B56,B19,'PBC List'!H2:H56,"Received")+COUNTIFS('PBC List'!B2:B56,B19,'PBC List'!H2:H56,"Reviewed")</f>
        <v>0</v>
      </c>
      <c r="E19" s="14" t="n">
        <f aca="false">COUNTIFS('PBC List'!B2:B56,B19,'PBC List'!H2:H56,"In Progress")+COUNTIFS('PBC List'!B2:B56,B19,'PBC List'!H2:H56,"Requested")</f>
        <v>0</v>
      </c>
      <c r="F19" s="14" t="n">
        <f aca="false">COUNTIFS('PBC List'!B2:B56,B19,'PBC List'!H2:H56,"Not Started")</f>
        <v>5</v>
      </c>
      <c r="G19" s="15" t="n">
        <f aca="false">IFERROR(D19/(C19-COUNTIFS('PBC List'!B2:B56,B19,'PBC List'!H2:H56,"N/A")),0)</f>
        <v>0</v>
      </c>
    </row>
    <row r="20" customFormat="false" ht="23.85" hidden="false" customHeight="false" outlineLevel="0" collapsed="false">
      <c r="B20" s="13" t="s">
        <v>58</v>
      </c>
      <c r="C20" s="14" t="n">
        <f aca="false">COUNTIF('PBC List'!B2:B56,B20)</f>
        <v>2</v>
      </c>
      <c r="D20" s="14" t="n">
        <f aca="false">COUNTIFS('PBC List'!B2:B56,B20,'PBC List'!H2:H56,"Received")+COUNTIFS('PBC List'!B2:B56,B20,'PBC List'!H2:H56,"Reviewed")</f>
        <v>0</v>
      </c>
      <c r="E20" s="14" t="n">
        <f aca="false">COUNTIFS('PBC List'!B2:B56,B20,'PBC List'!H2:H56,"In Progress")+COUNTIFS('PBC List'!B2:B56,B20,'PBC List'!H2:H56,"Requested")</f>
        <v>0</v>
      </c>
      <c r="F20" s="14" t="n">
        <f aca="false">COUNTIFS('PBC List'!B2:B56,B20,'PBC List'!H2:H56,"Not Started")</f>
        <v>2</v>
      </c>
      <c r="G20" s="15" t="n">
        <f aca="false">IFERROR(D20/(C20-COUNTIFS('PBC List'!B2:B56,B20,'PBC List'!H2:H56,"N/A")),0)</f>
        <v>0</v>
      </c>
    </row>
    <row r="21" customFormat="false" ht="15" hidden="false" customHeight="false" outlineLevel="0" collapsed="false">
      <c r="B21" s="16" t="s">
        <v>59</v>
      </c>
      <c r="C21" s="12" t="n">
        <f aca="false">SUM(C11:C20)</f>
        <v>55</v>
      </c>
      <c r="D21" s="12" t="n">
        <f aca="false">SUM(D11:D20)</f>
        <v>0</v>
      </c>
      <c r="E21" s="12" t="n">
        <f aca="false">SUM(E11:E20)</f>
        <v>0</v>
      </c>
      <c r="F21" s="12" t="n">
        <f aca="false">SUM(F11:F20)</f>
        <v>55</v>
      </c>
      <c r="G21" s="17" t="n">
        <f aca="false">IFERROR(D21/(C21-COUNTIF('PBC List'!H2:H56,"N/A")),0)</f>
        <v>0</v>
      </c>
    </row>
    <row r="24" customFormat="false" ht="15" hidden="false" customHeight="false" outlineLevel="0" collapsed="false">
      <c r="B24" s="3" t="s">
        <v>60</v>
      </c>
    </row>
    <row r="25" customFormat="false" ht="24" hidden="false" customHeight="true" outlineLevel="0" collapsed="false">
      <c r="B25" s="12" t="s">
        <v>61</v>
      </c>
      <c r="C25" s="12" t="s">
        <v>44</v>
      </c>
      <c r="D25" s="12" t="s">
        <v>45</v>
      </c>
      <c r="E25" s="12" t="s">
        <v>62</v>
      </c>
    </row>
    <row r="26" customFormat="false" ht="15" hidden="false" customHeight="false" outlineLevel="0" collapsed="false">
      <c r="B26" s="18" t="s">
        <v>63</v>
      </c>
      <c r="C26" s="14" t="n">
        <f aca="false">COUNTIF('PBC List'!F2:F56,B26)</f>
        <v>31</v>
      </c>
      <c r="D26" s="14" t="n">
        <f aca="false">COUNTIFS('PBC List'!F2:F56,B26,'PBC List'!H2:H56,"Received")+COUNTIFS('PBC List'!F2:F56,B26,'PBC List'!H2:H56,"Reviewed")</f>
        <v>0</v>
      </c>
      <c r="E26" s="14" t="n">
        <f aca="false">C26-D26-COUNTIFS('PBC List'!F2:F56,B26,'PBC List'!H2:H56,"N/A")</f>
        <v>31</v>
      </c>
    </row>
    <row r="27" customFormat="false" ht="15" hidden="false" customHeight="false" outlineLevel="0" collapsed="false">
      <c r="B27" s="19" t="s">
        <v>64</v>
      </c>
      <c r="C27" s="14" t="n">
        <f aca="false">COUNTIF('PBC List'!F2:F56,B27)</f>
        <v>15</v>
      </c>
      <c r="D27" s="14" t="n">
        <f aca="false">COUNTIFS('PBC List'!F2:F56,B27,'PBC List'!H2:H56,"Received")+COUNTIFS('PBC List'!F2:F56,B27,'PBC List'!H2:H56,"Reviewed")</f>
        <v>0</v>
      </c>
      <c r="E27" s="14" t="n">
        <f aca="false">C27-D27-COUNTIFS('PBC List'!F2:F56,B27,'PBC List'!H2:H56,"N/A")</f>
        <v>15</v>
      </c>
    </row>
    <row r="28" customFormat="false" ht="15" hidden="false" customHeight="false" outlineLevel="0" collapsed="false">
      <c r="B28" s="20" t="s">
        <v>65</v>
      </c>
      <c r="C28" s="14" t="n">
        <f aca="false">COUNTIF('PBC List'!F2:F56,B28)</f>
        <v>1</v>
      </c>
      <c r="D28" s="14" t="n">
        <f aca="false">COUNTIFS('PBC List'!F2:F56,B28,'PBC List'!H2:H56,"Received")+COUNTIFS('PBC List'!F2:F56,B28,'PBC List'!H2:H56,"Reviewed")</f>
        <v>0</v>
      </c>
      <c r="E28" s="14" t="n">
        <f aca="false">C28-D28-COUNTIFS('PBC List'!F2:F56,B28,'PBC List'!H2:H56,"N/A")</f>
        <v>1</v>
      </c>
    </row>
    <row r="30" customFormat="false" ht="15" hidden="false" customHeight="false" outlineLevel="0" collapsed="false">
      <c r="B30" s="21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75"/>
    <col collapsed="false" customWidth="true" hidden="false" outlineLevel="0" max="4" min="4" style="0" width="50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10" min="9" style="0" width="14"/>
    <col collapsed="false" customWidth="true" hidden="false" outlineLevel="0" max="11" min="11" style="0" width="30"/>
  </cols>
  <sheetData>
    <row r="1" customFormat="false" ht="30" hidden="false" customHeight="true" outlineLevel="0" collapsed="false">
      <c r="A1" s="12" t="s">
        <v>67</v>
      </c>
      <c r="B1" s="12" t="s">
        <v>43</v>
      </c>
      <c r="C1" s="12" t="s">
        <v>68</v>
      </c>
      <c r="D1" s="12" t="s">
        <v>69</v>
      </c>
      <c r="E1" s="12" t="s">
        <v>70</v>
      </c>
      <c r="F1" s="12" t="s">
        <v>61</v>
      </c>
      <c r="G1" s="12" t="s">
        <v>71</v>
      </c>
      <c r="H1" s="12" t="s">
        <v>72</v>
      </c>
      <c r="I1" s="12" t="s">
        <v>73</v>
      </c>
      <c r="J1" s="12" t="s">
        <v>74</v>
      </c>
      <c r="K1" s="12" t="s">
        <v>75</v>
      </c>
    </row>
    <row r="2" customFormat="false" ht="23.85" hidden="false" customHeight="false" outlineLevel="0" collapsed="false">
      <c r="A2" s="14" t="n">
        <v>1</v>
      </c>
      <c r="B2" s="22" t="s">
        <v>49</v>
      </c>
      <c r="C2" s="22" t="s">
        <v>76</v>
      </c>
      <c r="D2" s="22" t="s">
        <v>77</v>
      </c>
      <c r="E2" s="22" t="s">
        <v>78</v>
      </c>
      <c r="F2" s="23" t="s">
        <v>63</v>
      </c>
      <c r="G2" s="22"/>
      <c r="H2" s="22" t="s">
        <v>47</v>
      </c>
      <c r="I2" s="22"/>
      <c r="J2" s="22"/>
      <c r="K2" s="22"/>
    </row>
    <row r="3" customFormat="false" ht="35.05" hidden="false" customHeight="false" outlineLevel="0" collapsed="false">
      <c r="A3" s="14" t="n">
        <v>2</v>
      </c>
      <c r="B3" s="22" t="s">
        <v>49</v>
      </c>
      <c r="C3" s="22" t="s">
        <v>79</v>
      </c>
      <c r="D3" s="22" t="s">
        <v>80</v>
      </c>
      <c r="E3" s="22" t="s">
        <v>81</v>
      </c>
      <c r="F3" s="23" t="s">
        <v>63</v>
      </c>
      <c r="G3" s="22"/>
      <c r="H3" s="22" t="s">
        <v>47</v>
      </c>
      <c r="I3" s="22"/>
      <c r="J3" s="22"/>
      <c r="K3" s="22"/>
    </row>
    <row r="4" customFormat="false" ht="35.05" hidden="false" customHeight="false" outlineLevel="0" collapsed="false">
      <c r="A4" s="14" t="n">
        <v>3</v>
      </c>
      <c r="B4" s="22" t="s">
        <v>49</v>
      </c>
      <c r="C4" s="22" t="s">
        <v>82</v>
      </c>
      <c r="D4" s="22" t="s">
        <v>83</v>
      </c>
      <c r="E4" s="22" t="s">
        <v>84</v>
      </c>
      <c r="F4" s="23" t="s">
        <v>63</v>
      </c>
      <c r="G4" s="22"/>
      <c r="H4" s="22" t="s">
        <v>47</v>
      </c>
      <c r="I4" s="22"/>
      <c r="J4" s="22"/>
      <c r="K4" s="22"/>
    </row>
    <row r="5" customFormat="false" ht="35.05" hidden="false" customHeight="false" outlineLevel="0" collapsed="false">
      <c r="A5" s="14" t="n">
        <v>4</v>
      </c>
      <c r="B5" s="22" t="s">
        <v>49</v>
      </c>
      <c r="C5" s="22" t="s">
        <v>85</v>
      </c>
      <c r="D5" s="22" t="s">
        <v>86</v>
      </c>
      <c r="E5" s="22" t="s">
        <v>87</v>
      </c>
      <c r="F5" s="24" t="s">
        <v>64</v>
      </c>
      <c r="G5" s="22"/>
      <c r="H5" s="22" t="s">
        <v>47</v>
      </c>
      <c r="I5" s="22"/>
      <c r="J5" s="22"/>
      <c r="K5" s="22"/>
    </row>
    <row r="6" customFormat="false" ht="23.85" hidden="false" customHeight="false" outlineLevel="0" collapsed="false">
      <c r="A6" s="14" t="n">
        <v>5</v>
      </c>
      <c r="B6" s="22" t="s">
        <v>49</v>
      </c>
      <c r="C6" s="22" t="s">
        <v>88</v>
      </c>
      <c r="D6" s="22" t="s">
        <v>89</v>
      </c>
      <c r="E6" s="22" t="s">
        <v>90</v>
      </c>
      <c r="F6" s="24" t="s">
        <v>64</v>
      </c>
      <c r="G6" s="22"/>
      <c r="H6" s="22" t="s">
        <v>47</v>
      </c>
      <c r="I6" s="22"/>
      <c r="J6" s="22"/>
      <c r="K6" s="22"/>
    </row>
    <row r="7" customFormat="false" ht="23.85" hidden="false" customHeight="false" outlineLevel="0" collapsed="false">
      <c r="A7" s="14" t="n">
        <v>6</v>
      </c>
      <c r="B7" s="22" t="s">
        <v>49</v>
      </c>
      <c r="C7" s="22" t="s">
        <v>91</v>
      </c>
      <c r="D7" s="22" t="s">
        <v>92</v>
      </c>
      <c r="E7" s="22" t="s">
        <v>93</v>
      </c>
      <c r="F7" s="24" t="s">
        <v>64</v>
      </c>
      <c r="G7" s="22"/>
      <c r="H7" s="22" t="s">
        <v>47</v>
      </c>
      <c r="I7" s="22"/>
      <c r="J7" s="22"/>
      <c r="K7" s="22"/>
    </row>
    <row r="8" customFormat="false" ht="35.05" hidden="false" customHeight="false" outlineLevel="0" collapsed="false">
      <c r="A8" s="14" t="n">
        <v>7</v>
      </c>
      <c r="B8" s="22" t="s">
        <v>49</v>
      </c>
      <c r="C8" s="22" t="s">
        <v>94</v>
      </c>
      <c r="D8" s="22" t="s">
        <v>95</v>
      </c>
      <c r="E8" s="22" t="s">
        <v>96</v>
      </c>
      <c r="F8" s="23" t="s">
        <v>63</v>
      </c>
      <c r="G8" s="22"/>
      <c r="H8" s="22" t="s">
        <v>47</v>
      </c>
      <c r="I8" s="22"/>
      <c r="J8" s="22"/>
      <c r="K8" s="22"/>
    </row>
    <row r="9" customFormat="false" ht="46.25" hidden="false" customHeight="false" outlineLevel="0" collapsed="false">
      <c r="A9" s="14" t="n">
        <v>8</v>
      </c>
      <c r="B9" s="22" t="s">
        <v>50</v>
      </c>
      <c r="C9" s="22" t="s">
        <v>97</v>
      </c>
      <c r="D9" s="22" t="s">
        <v>98</v>
      </c>
      <c r="E9" s="22" t="s">
        <v>99</v>
      </c>
      <c r="F9" s="23" t="s">
        <v>63</v>
      </c>
      <c r="G9" s="22"/>
      <c r="H9" s="22" t="s">
        <v>47</v>
      </c>
      <c r="I9" s="22"/>
      <c r="J9" s="22"/>
      <c r="K9" s="22"/>
    </row>
    <row r="10" customFormat="false" ht="35.05" hidden="false" customHeight="false" outlineLevel="0" collapsed="false">
      <c r="A10" s="14" t="n">
        <v>9</v>
      </c>
      <c r="B10" s="22" t="s">
        <v>50</v>
      </c>
      <c r="C10" s="22" t="s">
        <v>100</v>
      </c>
      <c r="D10" s="22" t="s">
        <v>101</v>
      </c>
      <c r="E10" s="22" t="s">
        <v>102</v>
      </c>
      <c r="F10" s="23" t="s">
        <v>63</v>
      </c>
      <c r="G10" s="22"/>
      <c r="H10" s="22" t="s">
        <v>47</v>
      </c>
      <c r="I10" s="22"/>
      <c r="J10" s="22"/>
      <c r="K10" s="22"/>
    </row>
    <row r="11" customFormat="false" ht="57.45" hidden="false" customHeight="false" outlineLevel="0" collapsed="false">
      <c r="A11" s="14" t="n">
        <v>10</v>
      </c>
      <c r="B11" s="22" t="s">
        <v>50</v>
      </c>
      <c r="C11" s="22" t="s">
        <v>103</v>
      </c>
      <c r="D11" s="22" t="s">
        <v>104</v>
      </c>
      <c r="E11" s="22" t="s">
        <v>105</v>
      </c>
      <c r="F11" s="23" t="s">
        <v>63</v>
      </c>
      <c r="G11" s="22"/>
      <c r="H11" s="22" t="s">
        <v>47</v>
      </c>
      <c r="I11" s="22"/>
      <c r="J11" s="22"/>
      <c r="K11" s="22"/>
    </row>
    <row r="12" customFormat="false" ht="35.05" hidden="false" customHeight="false" outlineLevel="0" collapsed="false">
      <c r="A12" s="14" t="n">
        <v>11</v>
      </c>
      <c r="B12" s="22" t="s">
        <v>50</v>
      </c>
      <c r="C12" s="22" t="s">
        <v>106</v>
      </c>
      <c r="D12" s="22" t="s">
        <v>107</v>
      </c>
      <c r="E12" s="22" t="s">
        <v>102</v>
      </c>
      <c r="F12" s="23" t="s">
        <v>63</v>
      </c>
      <c r="G12" s="22"/>
      <c r="H12" s="22" t="s">
        <v>47</v>
      </c>
      <c r="I12" s="22"/>
      <c r="J12" s="22"/>
      <c r="K12" s="22"/>
    </row>
    <row r="13" customFormat="false" ht="35.05" hidden="false" customHeight="false" outlineLevel="0" collapsed="false">
      <c r="A13" s="14" t="n">
        <v>12</v>
      </c>
      <c r="B13" s="22" t="s">
        <v>50</v>
      </c>
      <c r="C13" s="22" t="s">
        <v>108</v>
      </c>
      <c r="D13" s="22" t="s">
        <v>109</v>
      </c>
      <c r="E13" s="22" t="s">
        <v>110</v>
      </c>
      <c r="F13" s="24" t="s">
        <v>64</v>
      </c>
      <c r="G13" s="22"/>
      <c r="H13" s="22" t="s">
        <v>47</v>
      </c>
      <c r="I13" s="22"/>
      <c r="J13" s="22"/>
      <c r="K13" s="22"/>
    </row>
    <row r="14" customFormat="false" ht="46.25" hidden="false" customHeight="false" outlineLevel="0" collapsed="false">
      <c r="A14" s="14" t="n">
        <v>13</v>
      </c>
      <c r="B14" s="22" t="s">
        <v>50</v>
      </c>
      <c r="C14" s="22" t="s">
        <v>111</v>
      </c>
      <c r="D14" s="22" t="s">
        <v>112</v>
      </c>
      <c r="E14" s="22" t="s">
        <v>113</v>
      </c>
      <c r="F14" s="24" t="s">
        <v>64</v>
      </c>
      <c r="G14" s="22"/>
      <c r="H14" s="22" t="s">
        <v>47</v>
      </c>
      <c r="I14" s="22"/>
      <c r="J14" s="22"/>
      <c r="K14" s="22"/>
    </row>
    <row r="15" customFormat="false" ht="79.85" hidden="false" customHeight="false" outlineLevel="0" collapsed="false">
      <c r="A15" s="14" t="n">
        <v>14</v>
      </c>
      <c r="B15" s="22" t="s">
        <v>51</v>
      </c>
      <c r="C15" s="22" t="s">
        <v>114</v>
      </c>
      <c r="D15" s="22" t="s">
        <v>115</v>
      </c>
      <c r="E15" s="22" t="s">
        <v>116</v>
      </c>
      <c r="F15" s="23" t="s">
        <v>63</v>
      </c>
      <c r="G15" s="22"/>
      <c r="H15" s="22" t="s">
        <v>47</v>
      </c>
      <c r="I15" s="22"/>
      <c r="J15" s="22"/>
      <c r="K15" s="22"/>
    </row>
    <row r="16" customFormat="false" ht="57.45" hidden="false" customHeight="false" outlineLevel="0" collapsed="false">
      <c r="A16" s="14" t="n">
        <v>15</v>
      </c>
      <c r="B16" s="22" t="s">
        <v>51</v>
      </c>
      <c r="C16" s="22" t="s">
        <v>117</v>
      </c>
      <c r="D16" s="22" t="s">
        <v>118</v>
      </c>
      <c r="E16" s="22" t="s">
        <v>119</v>
      </c>
      <c r="F16" s="23" t="s">
        <v>63</v>
      </c>
      <c r="G16" s="22"/>
      <c r="H16" s="22" t="s">
        <v>47</v>
      </c>
      <c r="I16" s="22"/>
      <c r="J16" s="22"/>
      <c r="K16" s="22"/>
    </row>
    <row r="17" customFormat="false" ht="46.25" hidden="false" customHeight="false" outlineLevel="0" collapsed="false">
      <c r="A17" s="14" t="n">
        <v>16</v>
      </c>
      <c r="B17" s="22" t="s">
        <v>51</v>
      </c>
      <c r="C17" s="22" t="s">
        <v>120</v>
      </c>
      <c r="D17" s="22" t="s">
        <v>121</v>
      </c>
      <c r="E17" s="22" t="s">
        <v>122</v>
      </c>
      <c r="F17" s="23" t="s">
        <v>63</v>
      </c>
      <c r="G17" s="22"/>
      <c r="H17" s="22" t="s">
        <v>47</v>
      </c>
      <c r="I17" s="22"/>
      <c r="J17" s="22"/>
      <c r="K17" s="22"/>
    </row>
    <row r="18" customFormat="false" ht="46.25" hidden="false" customHeight="false" outlineLevel="0" collapsed="false">
      <c r="A18" s="14" t="n">
        <v>17</v>
      </c>
      <c r="B18" s="22" t="s">
        <v>51</v>
      </c>
      <c r="C18" s="22" t="s">
        <v>123</v>
      </c>
      <c r="D18" s="22" t="s">
        <v>124</v>
      </c>
      <c r="E18" s="22" t="s">
        <v>125</v>
      </c>
      <c r="F18" s="23" t="s">
        <v>63</v>
      </c>
      <c r="G18" s="22"/>
      <c r="H18" s="22" t="s">
        <v>47</v>
      </c>
      <c r="I18" s="22"/>
      <c r="J18" s="22"/>
      <c r="K18" s="22"/>
    </row>
    <row r="19" customFormat="false" ht="46.25" hidden="false" customHeight="false" outlineLevel="0" collapsed="false">
      <c r="A19" s="14" t="n">
        <v>18</v>
      </c>
      <c r="B19" s="22" t="s">
        <v>51</v>
      </c>
      <c r="C19" s="22" t="s">
        <v>126</v>
      </c>
      <c r="D19" s="22" t="s">
        <v>127</v>
      </c>
      <c r="E19" s="22" t="s">
        <v>128</v>
      </c>
      <c r="F19" s="23" t="s">
        <v>63</v>
      </c>
      <c r="G19" s="22"/>
      <c r="H19" s="22" t="s">
        <v>47</v>
      </c>
      <c r="I19" s="22"/>
      <c r="J19" s="22"/>
      <c r="K19" s="22"/>
    </row>
    <row r="20" customFormat="false" ht="57.45" hidden="false" customHeight="false" outlineLevel="0" collapsed="false">
      <c r="A20" s="14" t="n">
        <v>19</v>
      </c>
      <c r="B20" s="22" t="s">
        <v>51</v>
      </c>
      <c r="C20" s="22" t="s">
        <v>129</v>
      </c>
      <c r="D20" s="22" t="s">
        <v>130</v>
      </c>
      <c r="E20" s="22" t="s">
        <v>102</v>
      </c>
      <c r="F20" s="24" t="s">
        <v>131</v>
      </c>
      <c r="G20" s="22"/>
      <c r="H20" s="22" t="s">
        <v>47</v>
      </c>
      <c r="I20" s="22"/>
      <c r="J20" s="22"/>
      <c r="K20" s="22"/>
    </row>
    <row r="21" customFormat="false" ht="102.2" hidden="false" customHeight="false" outlineLevel="0" collapsed="false">
      <c r="A21" s="14" t="n">
        <v>20</v>
      </c>
      <c r="B21" s="22" t="s">
        <v>51</v>
      </c>
      <c r="C21" s="22" t="s">
        <v>132</v>
      </c>
      <c r="D21" s="22" t="s">
        <v>133</v>
      </c>
      <c r="E21" s="22" t="s">
        <v>134</v>
      </c>
      <c r="F21" s="24" t="s">
        <v>131</v>
      </c>
      <c r="G21" s="22"/>
      <c r="H21" s="22" t="s">
        <v>47</v>
      </c>
      <c r="I21" s="22"/>
      <c r="J21" s="22"/>
      <c r="K21" s="22"/>
    </row>
    <row r="22" customFormat="false" ht="57.45" hidden="false" customHeight="false" outlineLevel="0" collapsed="false">
      <c r="A22" s="14" t="n">
        <v>21</v>
      </c>
      <c r="B22" s="22" t="s">
        <v>52</v>
      </c>
      <c r="C22" s="22" t="s">
        <v>135</v>
      </c>
      <c r="D22" s="22" t="s">
        <v>136</v>
      </c>
      <c r="E22" s="22" t="s">
        <v>137</v>
      </c>
      <c r="F22" s="23" t="s">
        <v>63</v>
      </c>
      <c r="G22" s="22"/>
      <c r="H22" s="22" t="s">
        <v>47</v>
      </c>
      <c r="I22" s="22"/>
      <c r="J22" s="22"/>
      <c r="K22" s="22"/>
    </row>
    <row r="23" customFormat="false" ht="57.45" hidden="false" customHeight="false" outlineLevel="0" collapsed="false">
      <c r="A23" s="14" t="n">
        <v>22</v>
      </c>
      <c r="B23" s="22" t="s">
        <v>52</v>
      </c>
      <c r="C23" s="22" t="s">
        <v>138</v>
      </c>
      <c r="D23" s="22" t="s">
        <v>139</v>
      </c>
      <c r="E23" s="22" t="s">
        <v>140</v>
      </c>
      <c r="F23" s="23" t="s">
        <v>63</v>
      </c>
      <c r="G23" s="22"/>
      <c r="H23" s="22" t="s">
        <v>47</v>
      </c>
      <c r="I23" s="22"/>
      <c r="J23" s="22"/>
      <c r="K23" s="22"/>
    </row>
    <row r="24" customFormat="false" ht="57.45" hidden="false" customHeight="false" outlineLevel="0" collapsed="false">
      <c r="A24" s="14" t="n">
        <v>23</v>
      </c>
      <c r="B24" s="22" t="s">
        <v>52</v>
      </c>
      <c r="C24" s="22" t="s">
        <v>141</v>
      </c>
      <c r="D24" s="22" t="s">
        <v>142</v>
      </c>
      <c r="E24" s="22" t="s">
        <v>143</v>
      </c>
      <c r="F24" s="24" t="s">
        <v>131</v>
      </c>
      <c r="G24" s="22"/>
      <c r="H24" s="22" t="s">
        <v>47</v>
      </c>
      <c r="I24" s="22"/>
      <c r="J24" s="22"/>
      <c r="K24" s="22"/>
    </row>
    <row r="25" customFormat="false" ht="68.65" hidden="false" customHeight="false" outlineLevel="0" collapsed="false">
      <c r="A25" s="14" t="n">
        <v>24</v>
      </c>
      <c r="B25" s="22" t="s">
        <v>52</v>
      </c>
      <c r="C25" s="22" t="s">
        <v>144</v>
      </c>
      <c r="D25" s="22" t="s">
        <v>145</v>
      </c>
      <c r="E25" s="22" t="s">
        <v>146</v>
      </c>
      <c r="F25" s="24" t="s">
        <v>131</v>
      </c>
      <c r="G25" s="22"/>
      <c r="H25" s="22" t="s">
        <v>47</v>
      </c>
      <c r="I25" s="22"/>
      <c r="J25" s="22"/>
      <c r="K25" s="22"/>
    </row>
    <row r="26" customFormat="false" ht="68.65" hidden="false" customHeight="false" outlineLevel="0" collapsed="false">
      <c r="A26" s="14" t="n">
        <v>25</v>
      </c>
      <c r="B26" s="22" t="s">
        <v>52</v>
      </c>
      <c r="C26" s="22" t="s">
        <v>147</v>
      </c>
      <c r="D26" s="22" t="s">
        <v>148</v>
      </c>
      <c r="E26" s="22" t="s">
        <v>149</v>
      </c>
      <c r="F26" s="24" t="s">
        <v>64</v>
      </c>
      <c r="G26" s="22"/>
      <c r="H26" s="22" t="s">
        <v>47</v>
      </c>
      <c r="I26" s="22"/>
      <c r="J26" s="22"/>
      <c r="K26" s="22"/>
    </row>
    <row r="27" customFormat="false" ht="79.85" hidden="false" customHeight="false" outlineLevel="0" collapsed="false">
      <c r="A27" s="14" t="n">
        <v>26</v>
      </c>
      <c r="B27" s="22" t="s">
        <v>53</v>
      </c>
      <c r="C27" s="22" t="s">
        <v>150</v>
      </c>
      <c r="D27" s="22" t="s">
        <v>151</v>
      </c>
      <c r="E27" s="22" t="s">
        <v>152</v>
      </c>
      <c r="F27" s="23" t="s">
        <v>63</v>
      </c>
      <c r="G27" s="22"/>
      <c r="H27" s="22" t="s">
        <v>47</v>
      </c>
      <c r="I27" s="22"/>
      <c r="J27" s="22"/>
      <c r="K27" s="22"/>
    </row>
    <row r="28" customFormat="false" ht="57.45" hidden="false" customHeight="false" outlineLevel="0" collapsed="false">
      <c r="A28" s="14" t="n">
        <v>27</v>
      </c>
      <c r="B28" s="22" t="s">
        <v>53</v>
      </c>
      <c r="C28" s="22" t="s">
        <v>153</v>
      </c>
      <c r="D28" s="22" t="s">
        <v>154</v>
      </c>
      <c r="E28" s="22" t="s">
        <v>155</v>
      </c>
      <c r="F28" s="23" t="s">
        <v>63</v>
      </c>
      <c r="G28" s="22"/>
      <c r="H28" s="22" t="s">
        <v>47</v>
      </c>
      <c r="I28" s="22"/>
      <c r="J28" s="22"/>
      <c r="K28" s="22"/>
    </row>
    <row r="29" customFormat="false" ht="68.65" hidden="false" customHeight="false" outlineLevel="0" collapsed="false">
      <c r="A29" s="14" t="n">
        <v>28</v>
      </c>
      <c r="B29" s="22" t="s">
        <v>53</v>
      </c>
      <c r="C29" s="22" t="s">
        <v>156</v>
      </c>
      <c r="D29" s="22" t="s">
        <v>157</v>
      </c>
      <c r="E29" s="22" t="s">
        <v>158</v>
      </c>
      <c r="F29" s="24" t="s">
        <v>131</v>
      </c>
      <c r="G29" s="22"/>
      <c r="H29" s="22" t="s">
        <v>47</v>
      </c>
      <c r="I29" s="22"/>
      <c r="J29" s="22"/>
      <c r="K29" s="22"/>
    </row>
    <row r="30" customFormat="false" ht="68.65" hidden="false" customHeight="false" outlineLevel="0" collapsed="false">
      <c r="A30" s="14" t="n">
        <v>29</v>
      </c>
      <c r="B30" s="22" t="s">
        <v>53</v>
      </c>
      <c r="C30" s="22" t="s">
        <v>159</v>
      </c>
      <c r="D30" s="22" t="s">
        <v>160</v>
      </c>
      <c r="E30" s="22" t="s">
        <v>161</v>
      </c>
      <c r="F30" s="23" t="s">
        <v>63</v>
      </c>
      <c r="G30" s="22"/>
      <c r="H30" s="22" t="s">
        <v>47</v>
      </c>
      <c r="I30" s="22"/>
      <c r="J30" s="22"/>
      <c r="K30" s="22"/>
    </row>
    <row r="31" customFormat="false" ht="79.85" hidden="false" customHeight="false" outlineLevel="0" collapsed="false">
      <c r="A31" s="14" t="n">
        <v>30</v>
      </c>
      <c r="B31" s="22" t="s">
        <v>53</v>
      </c>
      <c r="C31" s="22" t="s">
        <v>162</v>
      </c>
      <c r="D31" s="22" t="s">
        <v>163</v>
      </c>
      <c r="E31" s="22" t="s">
        <v>164</v>
      </c>
      <c r="F31" s="23" t="s">
        <v>63</v>
      </c>
      <c r="G31" s="22"/>
      <c r="H31" s="22" t="s">
        <v>47</v>
      </c>
      <c r="I31" s="22"/>
      <c r="J31" s="22"/>
      <c r="K31" s="22"/>
    </row>
    <row r="32" customFormat="false" ht="57.45" hidden="false" customHeight="false" outlineLevel="0" collapsed="false">
      <c r="A32" s="14" t="n">
        <v>31</v>
      </c>
      <c r="B32" s="22" t="s">
        <v>53</v>
      </c>
      <c r="C32" s="22" t="s">
        <v>165</v>
      </c>
      <c r="D32" s="22" t="s">
        <v>166</v>
      </c>
      <c r="E32" s="22" t="s">
        <v>167</v>
      </c>
      <c r="F32" s="24" t="s">
        <v>64</v>
      </c>
      <c r="G32" s="22"/>
      <c r="H32" s="22" t="s">
        <v>47</v>
      </c>
      <c r="I32" s="22"/>
      <c r="J32" s="22"/>
      <c r="K32" s="22"/>
    </row>
    <row r="33" customFormat="false" ht="79.85" hidden="false" customHeight="false" outlineLevel="0" collapsed="false">
      <c r="A33" s="14" t="n">
        <v>32</v>
      </c>
      <c r="B33" s="22" t="s">
        <v>53</v>
      </c>
      <c r="C33" s="22" t="s">
        <v>168</v>
      </c>
      <c r="D33" s="22" t="s">
        <v>169</v>
      </c>
      <c r="E33" s="22" t="s">
        <v>170</v>
      </c>
      <c r="F33" s="24" t="s">
        <v>131</v>
      </c>
      <c r="G33" s="22"/>
      <c r="H33" s="22" t="s">
        <v>47</v>
      </c>
      <c r="I33" s="22"/>
      <c r="J33" s="22"/>
      <c r="K33" s="22"/>
    </row>
    <row r="34" customFormat="false" ht="79.85" hidden="false" customHeight="false" outlineLevel="0" collapsed="false">
      <c r="A34" s="14" t="n">
        <v>33</v>
      </c>
      <c r="B34" s="22" t="s">
        <v>54</v>
      </c>
      <c r="C34" s="22" t="s">
        <v>171</v>
      </c>
      <c r="D34" s="22" t="s">
        <v>172</v>
      </c>
      <c r="E34" s="22" t="s">
        <v>102</v>
      </c>
      <c r="F34" s="23" t="s">
        <v>63</v>
      </c>
      <c r="G34" s="22"/>
      <c r="H34" s="22" t="s">
        <v>47</v>
      </c>
      <c r="I34" s="22"/>
      <c r="J34" s="22"/>
      <c r="K34" s="22"/>
    </row>
    <row r="35" customFormat="false" ht="35.05" hidden="false" customHeight="false" outlineLevel="0" collapsed="false">
      <c r="A35" s="14" t="n">
        <v>34</v>
      </c>
      <c r="B35" s="22" t="s">
        <v>54</v>
      </c>
      <c r="C35" s="22" t="s">
        <v>173</v>
      </c>
      <c r="D35" s="22" t="s">
        <v>174</v>
      </c>
      <c r="E35" s="22" t="s">
        <v>175</v>
      </c>
      <c r="F35" s="23" t="s">
        <v>63</v>
      </c>
      <c r="G35" s="22"/>
      <c r="H35" s="22" t="s">
        <v>47</v>
      </c>
      <c r="I35" s="22"/>
      <c r="J35" s="22"/>
      <c r="K35" s="22"/>
    </row>
    <row r="36" customFormat="false" ht="46.25" hidden="false" customHeight="false" outlineLevel="0" collapsed="false">
      <c r="A36" s="14" t="n">
        <v>35</v>
      </c>
      <c r="B36" s="22" t="s">
        <v>54</v>
      </c>
      <c r="C36" s="22" t="s">
        <v>176</v>
      </c>
      <c r="D36" s="22" t="s">
        <v>177</v>
      </c>
      <c r="E36" s="22" t="s">
        <v>178</v>
      </c>
      <c r="F36" s="24" t="s">
        <v>64</v>
      </c>
      <c r="G36" s="22"/>
      <c r="H36" s="22" t="s">
        <v>47</v>
      </c>
      <c r="I36" s="22"/>
      <c r="J36" s="22"/>
      <c r="K36" s="22"/>
    </row>
    <row r="37" customFormat="false" ht="46.25" hidden="false" customHeight="false" outlineLevel="0" collapsed="false">
      <c r="A37" s="14" t="n">
        <v>36</v>
      </c>
      <c r="B37" s="22" t="s">
        <v>54</v>
      </c>
      <c r="C37" s="22" t="s">
        <v>179</v>
      </c>
      <c r="D37" s="22" t="s">
        <v>180</v>
      </c>
      <c r="E37" s="22" t="s">
        <v>181</v>
      </c>
      <c r="F37" s="24" t="s">
        <v>64</v>
      </c>
      <c r="G37" s="22"/>
      <c r="H37" s="22" t="s">
        <v>47</v>
      </c>
      <c r="I37" s="22"/>
      <c r="J37" s="22"/>
      <c r="K37" s="22"/>
    </row>
    <row r="38" customFormat="false" ht="202.95" hidden="false" customHeight="false" outlineLevel="0" collapsed="false">
      <c r="A38" s="14" t="n">
        <v>37</v>
      </c>
      <c r="B38" s="22" t="s">
        <v>55</v>
      </c>
      <c r="C38" s="22" t="s">
        <v>182</v>
      </c>
      <c r="D38" s="22" t="s">
        <v>183</v>
      </c>
      <c r="E38" s="22" t="s">
        <v>184</v>
      </c>
      <c r="F38" s="23" t="s">
        <v>63</v>
      </c>
      <c r="G38" s="22"/>
      <c r="H38" s="22" t="s">
        <v>47</v>
      </c>
      <c r="I38" s="22"/>
      <c r="J38" s="22"/>
      <c r="K38" s="22"/>
    </row>
    <row r="39" customFormat="false" ht="57.45" hidden="false" customHeight="false" outlineLevel="0" collapsed="false">
      <c r="A39" s="14" t="n">
        <v>38</v>
      </c>
      <c r="B39" s="22" t="s">
        <v>55</v>
      </c>
      <c r="C39" s="22" t="s">
        <v>185</v>
      </c>
      <c r="D39" s="22" t="s">
        <v>186</v>
      </c>
      <c r="E39" s="22" t="s">
        <v>187</v>
      </c>
      <c r="F39" s="24" t="s">
        <v>131</v>
      </c>
      <c r="G39" s="22"/>
      <c r="H39" s="22" t="s">
        <v>47</v>
      </c>
      <c r="I39" s="22"/>
      <c r="J39" s="22"/>
      <c r="K39" s="22"/>
    </row>
    <row r="40" customFormat="false" ht="68.65" hidden="false" customHeight="false" outlineLevel="0" collapsed="false">
      <c r="A40" s="14" t="n">
        <v>39</v>
      </c>
      <c r="B40" s="22" t="s">
        <v>55</v>
      </c>
      <c r="C40" s="22" t="s">
        <v>188</v>
      </c>
      <c r="D40" s="22" t="s">
        <v>189</v>
      </c>
      <c r="E40" s="22" t="s">
        <v>102</v>
      </c>
      <c r="F40" s="23" t="s">
        <v>63</v>
      </c>
      <c r="G40" s="22"/>
      <c r="H40" s="22" t="s">
        <v>47</v>
      </c>
      <c r="I40" s="22"/>
      <c r="J40" s="22"/>
      <c r="K40" s="22"/>
    </row>
    <row r="41" customFormat="false" ht="35.05" hidden="false" customHeight="false" outlineLevel="0" collapsed="false">
      <c r="A41" s="14" t="n">
        <v>40</v>
      </c>
      <c r="B41" s="22" t="s">
        <v>55</v>
      </c>
      <c r="C41" s="22" t="s">
        <v>190</v>
      </c>
      <c r="D41" s="22" t="s">
        <v>191</v>
      </c>
      <c r="E41" s="22" t="s">
        <v>192</v>
      </c>
      <c r="F41" s="24" t="s">
        <v>64</v>
      </c>
      <c r="G41" s="22"/>
      <c r="H41" s="22" t="s">
        <v>47</v>
      </c>
      <c r="I41" s="22"/>
      <c r="J41" s="22"/>
      <c r="K41" s="22"/>
    </row>
    <row r="42" customFormat="false" ht="46.25" hidden="false" customHeight="false" outlineLevel="0" collapsed="false">
      <c r="A42" s="14" t="n">
        <v>41</v>
      </c>
      <c r="B42" s="22" t="s">
        <v>55</v>
      </c>
      <c r="C42" s="22" t="s">
        <v>193</v>
      </c>
      <c r="D42" s="22" t="s">
        <v>194</v>
      </c>
      <c r="E42" s="22" t="s">
        <v>195</v>
      </c>
      <c r="F42" s="24" t="s">
        <v>64</v>
      </c>
      <c r="G42" s="22"/>
      <c r="H42" s="22" t="s">
        <v>47</v>
      </c>
      <c r="I42" s="22"/>
      <c r="J42" s="22"/>
      <c r="K42" s="22"/>
    </row>
    <row r="43" customFormat="false" ht="23.85" hidden="false" customHeight="false" outlineLevel="0" collapsed="false">
      <c r="A43" s="14" t="n">
        <v>42</v>
      </c>
      <c r="B43" s="22" t="s">
        <v>56</v>
      </c>
      <c r="C43" s="22" t="s">
        <v>196</v>
      </c>
      <c r="D43" s="22" t="s">
        <v>197</v>
      </c>
      <c r="E43" s="22" t="s">
        <v>102</v>
      </c>
      <c r="F43" s="23" t="s">
        <v>63</v>
      </c>
      <c r="G43" s="22"/>
      <c r="H43" s="22" t="s">
        <v>47</v>
      </c>
      <c r="I43" s="22"/>
      <c r="J43" s="22"/>
      <c r="K43" s="22"/>
    </row>
    <row r="44" customFormat="false" ht="23.85" hidden="false" customHeight="false" outlineLevel="0" collapsed="false">
      <c r="A44" s="14" t="n">
        <v>43</v>
      </c>
      <c r="B44" s="22" t="s">
        <v>56</v>
      </c>
      <c r="C44" s="22" t="s">
        <v>198</v>
      </c>
      <c r="D44" s="22" t="s">
        <v>199</v>
      </c>
      <c r="E44" s="22" t="s">
        <v>200</v>
      </c>
      <c r="F44" s="23" t="s">
        <v>63</v>
      </c>
      <c r="G44" s="22"/>
      <c r="H44" s="22" t="s">
        <v>47</v>
      </c>
      <c r="I44" s="22"/>
      <c r="J44" s="22"/>
      <c r="K44" s="22"/>
    </row>
    <row r="45" customFormat="false" ht="35.05" hidden="false" customHeight="false" outlineLevel="0" collapsed="false">
      <c r="A45" s="14" t="n">
        <v>44</v>
      </c>
      <c r="B45" s="22" t="s">
        <v>56</v>
      </c>
      <c r="C45" s="22" t="s">
        <v>201</v>
      </c>
      <c r="D45" s="22" t="s">
        <v>202</v>
      </c>
      <c r="E45" s="22" t="s">
        <v>203</v>
      </c>
      <c r="F45" s="23" t="s">
        <v>63</v>
      </c>
      <c r="G45" s="22"/>
      <c r="H45" s="22" t="s">
        <v>47</v>
      </c>
      <c r="I45" s="22"/>
      <c r="J45" s="22"/>
      <c r="K45" s="22"/>
    </row>
    <row r="46" customFormat="false" ht="46.25" hidden="false" customHeight="false" outlineLevel="0" collapsed="false">
      <c r="A46" s="14" t="n">
        <v>45</v>
      </c>
      <c r="B46" s="22" t="s">
        <v>56</v>
      </c>
      <c r="C46" s="22" t="s">
        <v>204</v>
      </c>
      <c r="D46" s="22" t="s">
        <v>205</v>
      </c>
      <c r="E46" s="22" t="s">
        <v>206</v>
      </c>
      <c r="F46" s="23" t="s">
        <v>63</v>
      </c>
      <c r="G46" s="22"/>
      <c r="H46" s="22" t="s">
        <v>47</v>
      </c>
      <c r="I46" s="22"/>
      <c r="J46" s="22"/>
      <c r="K46" s="22"/>
    </row>
    <row r="47" customFormat="false" ht="46.25" hidden="false" customHeight="false" outlineLevel="0" collapsed="false">
      <c r="A47" s="14" t="n">
        <v>46</v>
      </c>
      <c r="B47" s="22" t="s">
        <v>56</v>
      </c>
      <c r="C47" s="22" t="s">
        <v>207</v>
      </c>
      <c r="D47" s="22" t="s">
        <v>208</v>
      </c>
      <c r="E47" s="22" t="s">
        <v>209</v>
      </c>
      <c r="F47" s="23" t="s">
        <v>63</v>
      </c>
      <c r="G47" s="22"/>
      <c r="H47" s="22" t="s">
        <v>47</v>
      </c>
      <c r="I47" s="22"/>
      <c r="J47" s="22"/>
      <c r="K47" s="22"/>
    </row>
    <row r="48" customFormat="false" ht="46.25" hidden="false" customHeight="false" outlineLevel="0" collapsed="false">
      <c r="A48" s="14" t="n">
        <v>47</v>
      </c>
      <c r="B48" s="22" t="s">
        <v>56</v>
      </c>
      <c r="C48" s="22" t="s">
        <v>210</v>
      </c>
      <c r="D48" s="22" t="s">
        <v>211</v>
      </c>
      <c r="E48" s="22" t="s">
        <v>212</v>
      </c>
      <c r="F48" s="24" t="s">
        <v>64</v>
      </c>
      <c r="G48" s="22"/>
      <c r="H48" s="22" t="s">
        <v>47</v>
      </c>
      <c r="I48" s="22"/>
      <c r="J48" s="22"/>
      <c r="K48" s="22"/>
    </row>
    <row r="49" customFormat="false" ht="35.05" hidden="false" customHeight="false" outlineLevel="0" collapsed="false">
      <c r="A49" s="14" t="n">
        <v>48</v>
      </c>
      <c r="B49" s="22" t="s">
        <v>56</v>
      </c>
      <c r="C49" s="22" t="s">
        <v>213</v>
      </c>
      <c r="D49" s="22" t="s">
        <v>214</v>
      </c>
      <c r="E49" s="22" t="s">
        <v>102</v>
      </c>
      <c r="F49" s="25" t="s">
        <v>215</v>
      </c>
      <c r="G49" s="22"/>
      <c r="H49" s="22" t="s">
        <v>47</v>
      </c>
      <c r="I49" s="22"/>
      <c r="J49" s="22"/>
      <c r="K49" s="22"/>
    </row>
    <row r="50" customFormat="false" ht="35.05" hidden="false" customHeight="false" outlineLevel="0" collapsed="false">
      <c r="A50" s="14" t="n">
        <v>49</v>
      </c>
      <c r="B50" s="22" t="s">
        <v>57</v>
      </c>
      <c r="C50" s="22" t="s">
        <v>216</v>
      </c>
      <c r="D50" s="22" t="s">
        <v>217</v>
      </c>
      <c r="E50" s="22" t="s">
        <v>218</v>
      </c>
      <c r="F50" s="23" t="s">
        <v>63</v>
      </c>
      <c r="G50" s="22"/>
      <c r="H50" s="22" t="s">
        <v>47</v>
      </c>
      <c r="I50" s="22"/>
      <c r="J50" s="22"/>
      <c r="K50" s="22"/>
    </row>
    <row r="51" customFormat="false" ht="23.85" hidden="false" customHeight="false" outlineLevel="0" collapsed="false">
      <c r="A51" s="14" t="n">
        <v>50</v>
      </c>
      <c r="B51" s="22" t="s">
        <v>57</v>
      </c>
      <c r="C51" s="22" t="s">
        <v>219</v>
      </c>
      <c r="D51" s="22" t="s">
        <v>220</v>
      </c>
      <c r="E51" s="22" t="s">
        <v>102</v>
      </c>
      <c r="F51" s="23" t="s">
        <v>63</v>
      </c>
      <c r="G51" s="22"/>
      <c r="H51" s="22" t="s">
        <v>47</v>
      </c>
      <c r="I51" s="22"/>
      <c r="J51" s="22"/>
      <c r="K51" s="22"/>
    </row>
    <row r="52" customFormat="false" ht="35.05" hidden="false" customHeight="false" outlineLevel="0" collapsed="false">
      <c r="A52" s="14" t="n">
        <v>51</v>
      </c>
      <c r="B52" s="22" t="s">
        <v>57</v>
      </c>
      <c r="C52" s="22" t="s">
        <v>221</v>
      </c>
      <c r="D52" s="22" t="s">
        <v>222</v>
      </c>
      <c r="E52" s="22" t="s">
        <v>223</v>
      </c>
      <c r="F52" s="23" t="s">
        <v>63</v>
      </c>
      <c r="G52" s="22"/>
      <c r="H52" s="22" t="s">
        <v>47</v>
      </c>
      <c r="I52" s="22"/>
      <c r="J52" s="22"/>
      <c r="K52" s="22"/>
    </row>
    <row r="53" customFormat="false" ht="23.85" hidden="false" customHeight="false" outlineLevel="0" collapsed="false">
      <c r="A53" s="14" t="n">
        <v>52</v>
      </c>
      <c r="B53" s="22" t="s">
        <v>57</v>
      </c>
      <c r="C53" s="22" t="s">
        <v>224</v>
      </c>
      <c r="D53" s="22" t="s">
        <v>225</v>
      </c>
      <c r="E53" s="22" t="s">
        <v>226</v>
      </c>
      <c r="F53" s="24" t="s">
        <v>64</v>
      </c>
      <c r="G53" s="22"/>
      <c r="H53" s="22" t="s">
        <v>47</v>
      </c>
      <c r="I53" s="22"/>
      <c r="J53" s="22"/>
      <c r="K53" s="22"/>
    </row>
    <row r="54" customFormat="false" ht="35.05" hidden="false" customHeight="false" outlineLevel="0" collapsed="false">
      <c r="A54" s="14" t="n">
        <v>53</v>
      </c>
      <c r="B54" s="22" t="s">
        <v>57</v>
      </c>
      <c r="C54" s="22" t="s">
        <v>227</v>
      </c>
      <c r="D54" s="22" t="s">
        <v>228</v>
      </c>
      <c r="E54" s="22" t="s">
        <v>229</v>
      </c>
      <c r="F54" s="24" t="s">
        <v>64</v>
      </c>
      <c r="G54" s="22"/>
      <c r="H54" s="22" t="s">
        <v>47</v>
      </c>
      <c r="I54" s="22"/>
      <c r="J54" s="22"/>
      <c r="K54" s="22"/>
    </row>
    <row r="55" customFormat="false" ht="35.05" hidden="false" customHeight="false" outlineLevel="0" collapsed="false">
      <c r="A55" s="14" t="n">
        <v>54</v>
      </c>
      <c r="B55" s="22" t="s">
        <v>58</v>
      </c>
      <c r="C55" s="22" t="s">
        <v>230</v>
      </c>
      <c r="D55" s="22" t="s">
        <v>231</v>
      </c>
      <c r="E55" s="22" t="s">
        <v>84</v>
      </c>
      <c r="F55" s="24" t="s">
        <v>64</v>
      </c>
      <c r="G55" s="22"/>
      <c r="H55" s="22" t="s">
        <v>47</v>
      </c>
      <c r="I55" s="22"/>
      <c r="J55" s="22"/>
      <c r="K55" s="22"/>
    </row>
    <row r="56" customFormat="false" ht="23.85" hidden="false" customHeight="false" outlineLevel="0" collapsed="false">
      <c r="A56" s="14" t="n">
        <v>55</v>
      </c>
      <c r="B56" s="22" t="s">
        <v>58</v>
      </c>
      <c r="C56" s="22" t="s">
        <v>232</v>
      </c>
      <c r="D56" s="22" t="s">
        <v>233</v>
      </c>
      <c r="E56" s="22" t="s">
        <v>234</v>
      </c>
      <c r="F56" s="25" t="s">
        <v>65</v>
      </c>
      <c r="G56" s="22"/>
      <c r="H56" s="22" t="s">
        <v>47</v>
      </c>
      <c r="I56" s="22"/>
      <c r="J56" s="22"/>
      <c r="K56" s="22"/>
    </row>
  </sheetData>
  <autoFilter ref="A1:K56"/>
  <conditionalFormatting sqref="H2:H56">
    <cfRule type="cellIs" priority="2" operator="equal" aboveAverage="0" equalAverage="0" bottom="0" percent="0" rank="0" text="" dxfId="6">
      <formula>"Received"</formula>
    </cfRule>
    <cfRule type="cellIs" priority="3" operator="equal" aboveAverage="0" equalAverage="0" bottom="0" percent="0" rank="0" text="" dxfId="6">
      <formula>"Reviewed"</formula>
    </cfRule>
    <cfRule type="cellIs" priority="4" operator="equal" aboveAverage="0" equalAverage="0" bottom="0" percent="0" rank="0" text="" dxfId="7">
      <formula>"In Progress"</formula>
    </cfRule>
    <cfRule type="cellIs" priority="5" operator="equal" aboveAverage="0" equalAverage="0" bottom="0" percent="0" rank="0" text="" dxfId="7">
      <formula>"Requested"</formula>
    </cfRule>
    <cfRule type="cellIs" priority="6" operator="equal" aboveAverage="0" equalAverage="0" bottom="0" percent="0" rank="0" text="" dxfId="8">
      <formula>"Not Started"</formula>
    </cfRule>
  </conditionalFormatting>
  <dataValidations count="2">
    <dataValidation allowBlank="true" errorStyle="stop" operator="between" showDropDown="false" showErrorMessage="false" showInputMessage="false" sqref="H2:H56" type="list">
      <formula1>"Not Started,Requested,In Progress,Received,Reviewed,N/A"</formula1>
      <formula2>0</formula2>
    </dataValidation>
    <dataValidation allowBlank="true" errorStyle="stop" operator="between" showDropDown="false" showErrorMessage="false" showInputMessage="false" sqref="F2:F56" type="list">
      <formula1>"High,Medium-High,Medium,Low-Medium,Low"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45"/>
    <col collapsed="false" customWidth="true" hidden="false" outlineLevel="0" max="5" min="5" style="0" width="28"/>
    <col collapsed="false" customWidth="true" hidden="false" outlineLevel="0" max="6" min="6" style="0" width="45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25"/>
  </cols>
  <sheetData>
    <row r="1" customFormat="false" ht="30" hidden="false" customHeight="true" outlineLevel="0" collapsed="false">
      <c r="A1" s="12" t="s">
        <v>67</v>
      </c>
      <c r="B1" s="12" t="s">
        <v>235</v>
      </c>
      <c r="C1" s="12" t="s">
        <v>236</v>
      </c>
      <c r="D1" s="12" t="s">
        <v>237</v>
      </c>
      <c r="E1" s="12" t="s">
        <v>238</v>
      </c>
      <c r="F1" s="12" t="s">
        <v>239</v>
      </c>
      <c r="G1" s="12" t="s">
        <v>71</v>
      </c>
      <c r="H1" s="12" t="s">
        <v>72</v>
      </c>
      <c r="I1" s="12" t="s">
        <v>240</v>
      </c>
      <c r="J1" s="12" t="s">
        <v>75</v>
      </c>
    </row>
    <row r="2" customFormat="false" ht="23.85" hidden="false" customHeight="false" outlineLevel="0" collapsed="false">
      <c r="A2" s="14" t="n">
        <v>1</v>
      </c>
      <c r="B2" s="22" t="s">
        <v>241</v>
      </c>
      <c r="C2" s="22" t="s">
        <v>242</v>
      </c>
      <c r="D2" s="22" t="s">
        <v>243</v>
      </c>
      <c r="E2" s="22" t="s">
        <v>244</v>
      </c>
      <c r="F2" s="22" t="s">
        <v>245</v>
      </c>
      <c r="G2" s="22"/>
      <c r="H2" s="22" t="s">
        <v>246</v>
      </c>
      <c r="I2" s="22"/>
      <c r="J2" s="22"/>
    </row>
    <row r="3" customFormat="false" ht="35.05" hidden="false" customHeight="false" outlineLevel="0" collapsed="false">
      <c r="A3" s="14" t="n">
        <v>2</v>
      </c>
      <c r="B3" s="22" t="s">
        <v>247</v>
      </c>
      <c r="C3" s="22" t="s">
        <v>248</v>
      </c>
      <c r="D3" s="22" t="s">
        <v>249</v>
      </c>
      <c r="E3" s="22" t="s">
        <v>250</v>
      </c>
      <c r="F3" s="22" t="s">
        <v>251</v>
      </c>
      <c r="G3" s="22"/>
      <c r="H3" s="22" t="s">
        <v>246</v>
      </c>
      <c r="I3" s="22"/>
      <c r="J3" s="22"/>
    </row>
    <row r="4" customFormat="false" ht="15" hidden="false" customHeight="false" outlineLevel="0" collapsed="false">
      <c r="A4" s="14" t="n">
        <v>3</v>
      </c>
      <c r="B4" s="22" t="s">
        <v>252</v>
      </c>
      <c r="C4" s="22" t="s">
        <v>253</v>
      </c>
      <c r="D4" s="22" t="s">
        <v>254</v>
      </c>
      <c r="E4" s="22" t="s">
        <v>255</v>
      </c>
      <c r="F4" s="22" t="s">
        <v>256</v>
      </c>
      <c r="G4" s="22"/>
      <c r="H4" s="22" t="s">
        <v>246</v>
      </c>
      <c r="I4" s="22"/>
      <c r="J4" s="22"/>
    </row>
    <row r="5" customFormat="false" ht="15" hidden="false" customHeight="false" outlineLevel="0" collapsed="false">
      <c r="A5" s="14" t="n">
        <v>4</v>
      </c>
      <c r="B5" s="22" t="s">
        <v>257</v>
      </c>
      <c r="C5" s="22" t="s">
        <v>253</v>
      </c>
      <c r="D5" s="22" t="s">
        <v>243</v>
      </c>
      <c r="E5" s="22" t="s">
        <v>258</v>
      </c>
      <c r="F5" s="22" t="s">
        <v>259</v>
      </c>
      <c r="G5" s="22"/>
      <c r="H5" s="22" t="s">
        <v>246</v>
      </c>
      <c r="I5" s="22"/>
      <c r="J5" s="22"/>
    </row>
    <row r="6" customFormat="false" ht="15" hidden="false" customHeight="false" outlineLevel="0" collapsed="false">
      <c r="A6" s="14" t="n">
        <v>5</v>
      </c>
      <c r="B6" s="22" t="s">
        <v>260</v>
      </c>
      <c r="C6" s="22" t="s">
        <v>253</v>
      </c>
      <c r="D6" s="22" t="s">
        <v>261</v>
      </c>
      <c r="E6" s="22" t="s">
        <v>262</v>
      </c>
      <c r="F6" s="22" t="s">
        <v>263</v>
      </c>
      <c r="G6" s="22"/>
      <c r="H6" s="22" t="s">
        <v>246</v>
      </c>
      <c r="I6" s="22"/>
      <c r="J6" s="22"/>
    </row>
    <row r="7" customFormat="false" ht="15" hidden="false" customHeight="false" outlineLevel="0" collapsed="false">
      <c r="A7" s="14" t="n">
        <v>6</v>
      </c>
      <c r="B7" s="22" t="s">
        <v>264</v>
      </c>
      <c r="C7" s="22" t="s">
        <v>253</v>
      </c>
      <c r="D7" s="22" t="s">
        <v>265</v>
      </c>
      <c r="E7" s="22" t="s">
        <v>262</v>
      </c>
      <c r="F7" s="22" t="s">
        <v>266</v>
      </c>
      <c r="G7" s="22"/>
      <c r="H7" s="22" t="s">
        <v>246</v>
      </c>
      <c r="I7" s="22"/>
      <c r="J7" s="22"/>
    </row>
    <row r="8" customFormat="false" ht="15" hidden="false" customHeight="false" outlineLevel="0" collapsed="false">
      <c r="A8" s="14" t="n">
        <v>7</v>
      </c>
      <c r="B8" s="22" t="s">
        <v>267</v>
      </c>
      <c r="C8" s="22" t="s">
        <v>253</v>
      </c>
      <c r="D8" s="22" t="s">
        <v>268</v>
      </c>
      <c r="E8" s="22" t="s">
        <v>269</v>
      </c>
      <c r="F8" s="22" t="s">
        <v>270</v>
      </c>
      <c r="G8" s="22"/>
      <c r="H8" s="22" t="s">
        <v>246</v>
      </c>
      <c r="I8" s="22"/>
      <c r="J8" s="22"/>
    </row>
    <row r="9" customFormat="false" ht="15" hidden="false" customHeight="false" outlineLevel="0" collapsed="false">
      <c r="A9" s="14" t="n">
        <v>8</v>
      </c>
      <c r="B9" s="22" t="s">
        <v>271</v>
      </c>
      <c r="C9" s="22" t="s">
        <v>253</v>
      </c>
      <c r="D9" s="22" t="s">
        <v>272</v>
      </c>
      <c r="E9" s="22" t="s">
        <v>273</v>
      </c>
      <c r="F9" s="22" t="s">
        <v>274</v>
      </c>
      <c r="G9" s="22"/>
      <c r="H9" s="22" t="s">
        <v>246</v>
      </c>
      <c r="I9" s="22"/>
      <c r="J9" s="22"/>
    </row>
    <row r="10" customFormat="false" ht="15" hidden="false" customHeight="false" outlineLevel="0" collapsed="false">
      <c r="A10" s="14" t="n">
        <v>9</v>
      </c>
      <c r="B10" s="22" t="s">
        <v>275</v>
      </c>
      <c r="C10" s="22" t="s">
        <v>253</v>
      </c>
      <c r="D10" s="22" t="s">
        <v>276</v>
      </c>
      <c r="E10" s="22" t="s">
        <v>262</v>
      </c>
      <c r="F10" s="22" t="s">
        <v>274</v>
      </c>
      <c r="G10" s="22"/>
      <c r="H10" s="22" t="s">
        <v>246</v>
      </c>
      <c r="I10" s="22"/>
      <c r="J10" s="22"/>
    </row>
    <row r="11" customFormat="false" ht="15" hidden="false" customHeight="false" outlineLevel="0" collapsed="false">
      <c r="A11" s="14" t="n">
        <v>10</v>
      </c>
      <c r="B11" s="22" t="s">
        <v>277</v>
      </c>
      <c r="C11" s="22" t="s">
        <v>253</v>
      </c>
      <c r="D11" s="22" t="s">
        <v>278</v>
      </c>
      <c r="E11" s="22" t="s">
        <v>262</v>
      </c>
      <c r="F11" s="22" t="s">
        <v>279</v>
      </c>
      <c r="G11" s="22"/>
      <c r="H11" s="22" t="s">
        <v>246</v>
      </c>
      <c r="I11" s="22"/>
      <c r="J11" s="22"/>
    </row>
    <row r="12" customFormat="false" ht="15" hidden="false" customHeight="false" outlineLevel="0" collapsed="false">
      <c r="A12" s="14" t="n">
        <v>11</v>
      </c>
      <c r="B12" s="22" t="s">
        <v>280</v>
      </c>
      <c r="C12" s="22" t="s">
        <v>253</v>
      </c>
      <c r="D12" s="22" t="s">
        <v>281</v>
      </c>
      <c r="E12" s="22" t="s">
        <v>262</v>
      </c>
      <c r="F12" s="22" t="s">
        <v>282</v>
      </c>
      <c r="G12" s="22"/>
      <c r="H12" s="22" t="s">
        <v>246</v>
      </c>
      <c r="I12" s="22"/>
      <c r="J12" s="22"/>
    </row>
    <row r="13" customFormat="false" ht="15" hidden="false" customHeight="false" outlineLevel="0" collapsed="false">
      <c r="A13" s="14" t="n">
        <v>12</v>
      </c>
      <c r="B13" s="22" t="s">
        <v>283</v>
      </c>
      <c r="C13" s="22" t="s">
        <v>253</v>
      </c>
      <c r="D13" s="22" t="s">
        <v>284</v>
      </c>
      <c r="E13" s="22" t="s">
        <v>262</v>
      </c>
      <c r="F13" s="22" t="s">
        <v>285</v>
      </c>
      <c r="G13" s="22"/>
      <c r="H13" s="22" t="s">
        <v>246</v>
      </c>
      <c r="I13" s="22"/>
      <c r="J13" s="22"/>
    </row>
    <row r="14" customFormat="false" ht="15" hidden="false" customHeight="false" outlineLevel="0" collapsed="false">
      <c r="A14" s="14" t="n">
        <v>13</v>
      </c>
      <c r="B14" s="22" t="s">
        <v>286</v>
      </c>
      <c r="C14" s="22" t="s">
        <v>287</v>
      </c>
      <c r="D14" s="22" t="s">
        <v>288</v>
      </c>
      <c r="E14" s="22" t="s">
        <v>289</v>
      </c>
      <c r="F14" s="22" t="s">
        <v>290</v>
      </c>
      <c r="G14" s="22"/>
      <c r="H14" s="22" t="s">
        <v>246</v>
      </c>
      <c r="I14" s="22"/>
      <c r="J14" s="22"/>
    </row>
    <row r="15" customFormat="false" ht="23.85" hidden="false" customHeight="false" outlineLevel="0" collapsed="false">
      <c r="A15" s="14" t="n">
        <v>14</v>
      </c>
      <c r="B15" s="22" t="s">
        <v>291</v>
      </c>
      <c r="C15" s="22" t="s">
        <v>292</v>
      </c>
      <c r="D15" s="22" t="s">
        <v>281</v>
      </c>
      <c r="E15" s="22" t="s">
        <v>262</v>
      </c>
      <c r="F15" s="22" t="s">
        <v>293</v>
      </c>
      <c r="G15" s="22"/>
      <c r="H15" s="22" t="s">
        <v>246</v>
      </c>
      <c r="I15" s="22"/>
      <c r="J15" s="22"/>
    </row>
    <row r="16" customFormat="false" ht="23.85" hidden="false" customHeight="false" outlineLevel="0" collapsed="false">
      <c r="A16" s="14" t="n">
        <v>15</v>
      </c>
      <c r="B16" s="22" t="s">
        <v>294</v>
      </c>
      <c r="C16" s="22" t="s">
        <v>295</v>
      </c>
      <c r="D16" s="22" t="s">
        <v>296</v>
      </c>
      <c r="E16" s="22" t="s">
        <v>297</v>
      </c>
      <c r="F16" s="22" t="s">
        <v>298</v>
      </c>
      <c r="G16" s="22"/>
      <c r="H16" s="22" t="s">
        <v>246</v>
      </c>
      <c r="I16" s="22"/>
      <c r="J16" s="22"/>
    </row>
    <row r="17" customFormat="false" ht="23.85" hidden="false" customHeight="false" outlineLevel="0" collapsed="false">
      <c r="A17" s="14" t="n">
        <v>16</v>
      </c>
      <c r="B17" s="22" t="s">
        <v>299</v>
      </c>
      <c r="C17" s="22" t="s">
        <v>253</v>
      </c>
      <c r="D17" s="22" t="s">
        <v>300</v>
      </c>
      <c r="E17" s="22" t="s">
        <v>262</v>
      </c>
      <c r="F17" s="22" t="s">
        <v>301</v>
      </c>
      <c r="G17" s="22"/>
      <c r="H17" s="22" t="s">
        <v>246</v>
      </c>
      <c r="I17" s="22"/>
      <c r="J17" s="22"/>
    </row>
    <row r="18" customFormat="false" ht="23.85" hidden="false" customHeight="false" outlineLevel="0" collapsed="false">
      <c r="A18" s="14" t="n">
        <v>17</v>
      </c>
      <c r="B18" s="22" t="s">
        <v>302</v>
      </c>
      <c r="C18" s="22" t="s">
        <v>253</v>
      </c>
      <c r="D18" s="22" t="s">
        <v>281</v>
      </c>
      <c r="E18" s="22" t="s">
        <v>262</v>
      </c>
      <c r="F18" s="22" t="s">
        <v>303</v>
      </c>
      <c r="G18" s="22"/>
      <c r="H18" s="22" t="s">
        <v>246</v>
      </c>
      <c r="I18" s="22"/>
      <c r="J18" s="22"/>
    </row>
    <row r="19" customFormat="false" ht="15" hidden="false" customHeight="false" outlineLevel="0" collapsed="false">
      <c r="A19" s="14" t="n">
        <v>18</v>
      </c>
      <c r="B19" s="22" t="s">
        <v>304</v>
      </c>
      <c r="C19" s="22" t="s">
        <v>253</v>
      </c>
      <c r="D19" s="22" t="s">
        <v>281</v>
      </c>
      <c r="E19" s="22" t="s">
        <v>262</v>
      </c>
      <c r="F19" s="22" t="s">
        <v>305</v>
      </c>
      <c r="G19" s="22"/>
      <c r="H19" s="22" t="s">
        <v>246</v>
      </c>
      <c r="I19" s="22"/>
      <c r="J19" s="22"/>
    </row>
    <row r="20" customFormat="false" ht="23.85" hidden="false" customHeight="false" outlineLevel="0" collapsed="false">
      <c r="A20" s="14" t="n">
        <v>19</v>
      </c>
      <c r="B20" s="22" t="s">
        <v>306</v>
      </c>
      <c r="C20" s="22" t="s">
        <v>253</v>
      </c>
      <c r="D20" s="22" t="s">
        <v>281</v>
      </c>
      <c r="E20" s="22" t="s">
        <v>262</v>
      </c>
      <c r="F20" s="22" t="s">
        <v>307</v>
      </c>
      <c r="G20" s="22"/>
      <c r="H20" s="22" t="s">
        <v>246</v>
      </c>
      <c r="I20" s="22"/>
      <c r="J20" s="22"/>
    </row>
  </sheetData>
  <autoFilter ref="A1:J20"/>
  <dataValidations count="1">
    <dataValidation allowBlank="true" errorStyle="stop" operator="between" showDropDown="false" showErrorMessage="false" showInputMessage="false" sqref="H2:H20" type="list">
      <formula1>"Not Requested,Requested,Pending Approval,Provisioned,Tested OK,Issue,Revoked"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30"/>
  </cols>
  <sheetData>
    <row r="1" customFormat="false" ht="30" hidden="false" customHeight="true" outlineLevel="0" collapsed="false">
      <c r="A1" s="12" t="s">
        <v>67</v>
      </c>
      <c r="B1" s="12" t="s">
        <v>308</v>
      </c>
      <c r="C1" s="12" t="s">
        <v>309</v>
      </c>
      <c r="D1" s="12" t="s">
        <v>310</v>
      </c>
      <c r="E1" s="12" t="s">
        <v>311</v>
      </c>
      <c r="F1" s="12" t="s">
        <v>312</v>
      </c>
      <c r="G1" s="12" t="s">
        <v>72</v>
      </c>
      <c r="H1" s="12" t="s">
        <v>75</v>
      </c>
    </row>
    <row r="2" customFormat="false" ht="15" hidden="false" customHeight="false" outlineLevel="0" collapsed="false">
      <c r="A2" s="14" t="n">
        <v>1</v>
      </c>
      <c r="B2" s="22" t="s">
        <v>313</v>
      </c>
      <c r="C2" s="22" t="s">
        <v>314</v>
      </c>
      <c r="D2" s="22" t="s">
        <v>315</v>
      </c>
      <c r="E2" s="22"/>
      <c r="F2" s="22" t="n">
        <v>60</v>
      </c>
      <c r="G2" s="22" t="s">
        <v>316</v>
      </c>
      <c r="H2" s="22"/>
    </row>
    <row r="3" customFormat="false" ht="23.85" hidden="false" customHeight="false" outlineLevel="0" collapsed="false">
      <c r="A3" s="14" t="n">
        <v>2</v>
      </c>
      <c r="B3" s="22" t="s">
        <v>317</v>
      </c>
      <c r="C3" s="22" t="s">
        <v>318</v>
      </c>
      <c r="D3" s="22" t="s">
        <v>319</v>
      </c>
      <c r="E3" s="22"/>
      <c r="F3" s="22" t="n">
        <v>60</v>
      </c>
      <c r="G3" s="22" t="s">
        <v>316</v>
      </c>
      <c r="H3" s="22"/>
    </row>
    <row r="4" customFormat="false" ht="23.85" hidden="false" customHeight="false" outlineLevel="0" collapsed="false">
      <c r="A4" s="14" t="n">
        <v>3</v>
      </c>
      <c r="B4" s="22" t="s">
        <v>320</v>
      </c>
      <c r="C4" s="22" t="s">
        <v>321</v>
      </c>
      <c r="D4" s="22" t="s">
        <v>322</v>
      </c>
      <c r="E4" s="22"/>
      <c r="F4" s="22" t="n">
        <v>90</v>
      </c>
      <c r="G4" s="22" t="s">
        <v>316</v>
      </c>
      <c r="H4" s="22"/>
    </row>
    <row r="5" customFormat="false" ht="23.85" hidden="false" customHeight="false" outlineLevel="0" collapsed="false">
      <c r="A5" s="14" t="n">
        <v>4</v>
      </c>
      <c r="B5" s="22" t="s">
        <v>323</v>
      </c>
      <c r="C5" s="22" t="s">
        <v>324</v>
      </c>
      <c r="D5" s="22" t="s">
        <v>325</v>
      </c>
      <c r="E5" s="22"/>
      <c r="F5" s="22" t="n">
        <v>60</v>
      </c>
      <c r="G5" s="22" t="s">
        <v>316</v>
      </c>
      <c r="H5" s="22"/>
    </row>
    <row r="6" customFormat="false" ht="15" hidden="false" customHeight="false" outlineLevel="0" collapsed="false">
      <c r="A6" s="14" t="n">
        <v>5</v>
      </c>
      <c r="B6" s="22" t="s">
        <v>326</v>
      </c>
      <c r="C6" s="22" t="s">
        <v>327</v>
      </c>
      <c r="D6" s="22" t="s">
        <v>328</v>
      </c>
      <c r="E6" s="22"/>
      <c r="F6" s="22" t="n">
        <v>90</v>
      </c>
      <c r="G6" s="22" t="s">
        <v>316</v>
      </c>
      <c r="H6" s="22"/>
    </row>
    <row r="7" customFormat="false" ht="15" hidden="false" customHeight="false" outlineLevel="0" collapsed="false">
      <c r="A7" s="14" t="n">
        <v>6</v>
      </c>
      <c r="B7" s="22" t="s">
        <v>329</v>
      </c>
      <c r="C7" s="22" t="s">
        <v>330</v>
      </c>
      <c r="D7" s="22" t="s">
        <v>331</v>
      </c>
      <c r="E7" s="22"/>
      <c r="F7" s="22" t="n">
        <v>60</v>
      </c>
      <c r="G7" s="22" t="s">
        <v>316</v>
      </c>
      <c r="H7" s="22"/>
    </row>
    <row r="8" customFormat="false" ht="15" hidden="false" customHeight="false" outlineLevel="0" collapsed="false">
      <c r="A8" s="14" t="n">
        <v>7</v>
      </c>
      <c r="B8" s="22" t="s">
        <v>332</v>
      </c>
      <c r="C8" s="22" t="s">
        <v>333</v>
      </c>
      <c r="D8" s="22" t="s">
        <v>334</v>
      </c>
      <c r="E8" s="22"/>
      <c r="F8" s="22" t="n">
        <v>45</v>
      </c>
      <c r="G8" s="22" t="s">
        <v>316</v>
      </c>
      <c r="H8" s="22"/>
    </row>
    <row r="9" customFormat="false" ht="23.85" hidden="false" customHeight="false" outlineLevel="0" collapsed="false">
      <c r="A9" s="14" t="n">
        <v>8</v>
      </c>
      <c r="B9" s="22" t="s">
        <v>55</v>
      </c>
      <c r="C9" s="22" t="s">
        <v>335</v>
      </c>
      <c r="D9" s="22" t="s">
        <v>336</v>
      </c>
      <c r="E9" s="22"/>
      <c r="F9" s="22" t="n">
        <v>60</v>
      </c>
      <c r="G9" s="22" t="s">
        <v>316</v>
      </c>
      <c r="H9" s="22"/>
    </row>
    <row r="10" customFormat="false" ht="15" hidden="false" customHeight="false" outlineLevel="0" collapsed="false">
      <c r="A10" s="14" t="n">
        <v>9</v>
      </c>
      <c r="B10" s="22" t="s">
        <v>337</v>
      </c>
      <c r="C10" s="22" t="s">
        <v>338</v>
      </c>
      <c r="D10" s="22" t="s">
        <v>339</v>
      </c>
      <c r="E10" s="22"/>
      <c r="F10" s="22" t="n">
        <v>60</v>
      </c>
      <c r="G10" s="22" t="s">
        <v>316</v>
      </c>
      <c r="H10" s="22"/>
    </row>
    <row r="11" customFormat="false" ht="15" hidden="false" customHeight="false" outlineLevel="0" collapsed="false">
      <c r="A11" s="14" t="n">
        <v>10</v>
      </c>
      <c r="B11" s="22" t="s">
        <v>340</v>
      </c>
      <c r="C11" s="22" t="s">
        <v>341</v>
      </c>
      <c r="D11" s="22" t="s">
        <v>342</v>
      </c>
      <c r="E11" s="22"/>
      <c r="F11" s="22" t="n">
        <v>30</v>
      </c>
      <c r="G11" s="22" t="s">
        <v>316</v>
      </c>
      <c r="H11" s="22"/>
    </row>
    <row r="12" customFormat="false" ht="15" hidden="false" customHeight="false" outlineLevel="0" collapsed="false">
      <c r="A12" s="14" t="n">
        <v>11</v>
      </c>
      <c r="B12" s="22" t="s">
        <v>343</v>
      </c>
      <c r="C12" s="22" t="s">
        <v>344</v>
      </c>
      <c r="D12" s="22" t="s">
        <v>345</v>
      </c>
      <c r="E12" s="22"/>
      <c r="F12" s="22" t="n">
        <v>90</v>
      </c>
      <c r="G12" s="22" t="s">
        <v>316</v>
      </c>
      <c r="H12" s="22"/>
    </row>
  </sheetData>
  <dataValidations count="1">
    <dataValidation allowBlank="true" errorStyle="stop" operator="between" showDropDown="false" showErrorMessage="false" showInputMessage="false" sqref="G2:G12" type="list">
      <formula1>"Not Scheduled,Scheduled,Completed,Rescheduled,Cancelled"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35"/>
    <col collapsed="false" customWidth="true" hidden="false" outlineLevel="0" max="5" min="5" style="0" width="40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40"/>
  </cols>
  <sheetData>
    <row r="1" customFormat="false" ht="30" hidden="false" customHeight="true" outlineLevel="0" collapsed="false">
      <c r="A1" s="12" t="s">
        <v>67</v>
      </c>
      <c r="B1" s="12" t="s">
        <v>346</v>
      </c>
      <c r="C1" s="12" t="s">
        <v>347</v>
      </c>
      <c r="D1" s="12" t="s">
        <v>348</v>
      </c>
      <c r="E1" s="12" t="s">
        <v>349</v>
      </c>
      <c r="F1" s="12" t="s">
        <v>350</v>
      </c>
      <c r="G1" s="12" t="s">
        <v>351</v>
      </c>
      <c r="H1" s="12" t="s">
        <v>352</v>
      </c>
      <c r="I1" s="12" t="s">
        <v>353</v>
      </c>
    </row>
    <row r="2" customFormat="false" ht="15" hidden="false" customHeight="false" outlineLevel="0" collapsed="false">
      <c r="A2" s="14" t="n">
        <v>1</v>
      </c>
      <c r="B2" s="22"/>
      <c r="C2" s="22"/>
      <c r="D2" s="22"/>
      <c r="E2" s="22"/>
      <c r="F2" s="22"/>
      <c r="G2" s="22"/>
      <c r="H2" s="22"/>
      <c r="I2" s="22"/>
    </row>
    <row r="3" customFormat="false" ht="15" hidden="false" customHeight="false" outlineLevel="0" collapsed="false">
      <c r="A3" s="14" t="n">
        <v>2</v>
      </c>
      <c r="B3" s="22"/>
      <c r="C3" s="22"/>
      <c r="D3" s="22"/>
      <c r="E3" s="22"/>
      <c r="F3" s="22"/>
      <c r="G3" s="22"/>
      <c r="H3" s="22"/>
      <c r="I3" s="22"/>
    </row>
    <row r="4" customFormat="false" ht="15" hidden="false" customHeight="false" outlineLevel="0" collapsed="false">
      <c r="A4" s="14" t="n">
        <v>3</v>
      </c>
      <c r="B4" s="22"/>
      <c r="C4" s="22"/>
      <c r="D4" s="22"/>
      <c r="E4" s="22"/>
      <c r="F4" s="22"/>
      <c r="G4" s="22"/>
      <c r="H4" s="22"/>
      <c r="I4" s="22"/>
    </row>
    <row r="5" customFormat="false" ht="15" hidden="false" customHeight="false" outlineLevel="0" collapsed="false">
      <c r="A5" s="14" t="n">
        <v>4</v>
      </c>
      <c r="B5" s="22"/>
      <c r="C5" s="22"/>
      <c r="D5" s="22"/>
      <c r="E5" s="22"/>
      <c r="F5" s="22"/>
      <c r="G5" s="22"/>
      <c r="H5" s="22"/>
      <c r="I5" s="22"/>
    </row>
    <row r="6" customFormat="false" ht="15" hidden="false" customHeight="false" outlineLevel="0" collapsed="false">
      <c r="A6" s="14" t="n">
        <v>5</v>
      </c>
      <c r="B6" s="22"/>
      <c r="C6" s="22"/>
      <c r="D6" s="22"/>
      <c r="E6" s="22"/>
      <c r="F6" s="22"/>
      <c r="G6" s="22"/>
      <c r="H6" s="22"/>
      <c r="I6" s="22"/>
    </row>
    <row r="7" customFormat="false" ht="15" hidden="false" customHeight="false" outlineLevel="0" collapsed="false">
      <c r="A7" s="14" t="n">
        <v>6</v>
      </c>
      <c r="B7" s="22"/>
      <c r="C7" s="22"/>
      <c r="D7" s="22"/>
      <c r="E7" s="22"/>
      <c r="F7" s="22"/>
      <c r="G7" s="22"/>
      <c r="H7" s="22"/>
      <c r="I7" s="22"/>
    </row>
    <row r="8" customFormat="false" ht="15" hidden="false" customHeight="false" outlineLevel="0" collapsed="false">
      <c r="A8" s="14" t="n">
        <v>7</v>
      </c>
      <c r="B8" s="22"/>
      <c r="C8" s="22"/>
      <c r="D8" s="22"/>
      <c r="E8" s="22"/>
      <c r="F8" s="22"/>
      <c r="G8" s="22"/>
      <c r="H8" s="22"/>
      <c r="I8" s="22"/>
    </row>
    <row r="9" customFormat="false" ht="15" hidden="false" customHeight="false" outlineLevel="0" collapsed="false">
      <c r="A9" s="14" t="n">
        <v>8</v>
      </c>
      <c r="B9" s="22"/>
      <c r="C9" s="22"/>
      <c r="D9" s="22"/>
      <c r="E9" s="22"/>
      <c r="F9" s="22"/>
      <c r="G9" s="22"/>
      <c r="H9" s="22"/>
      <c r="I9" s="22"/>
    </row>
    <row r="10" customFormat="false" ht="15" hidden="false" customHeight="false" outlineLevel="0" collapsed="false">
      <c r="A10" s="14" t="n">
        <v>9</v>
      </c>
      <c r="B10" s="22"/>
      <c r="C10" s="22"/>
      <c r="D10" s="22"/>
      <c r="E10" s="22"/>
      <c r="F10" s="22"/>
      <c r="G10" s="22"/>
      <c r="H10" s="22"/>
      <c r="I10" s="22"/>
    </row>
    <row r="11" customFormat="false" ht="15" hidden="false" customHeight="false" outlineLevel="0" collapsed="false">
      <c r="A11" s="14" t="n">
        <v>10</v>
      </c>
      <c r="B11" s="22"/>
      <c r="C11" s="22"/>
      <c r="D11" s="22"/>
      <c r="E11" s="22"/>
      <c r="F11" s="22"/>
      <c r="G11" s="22"/>
      <c r="H11" s="22"/>
      <c r="I11" s="22"/>
    </row>
    <row r="12" customFormat="false" ht="15" hidden="false" customHeight="false" outlineLevel="0" collapsed="false">
      <c r="A12" s="14" t="n">
        <v>11</v>
      </c>
      <c r="B12" s="22"/>
      <c r="C12" s="22"/>
      <c r="D12" s="22"/>
      <c r="E12" s="22"/>
      <c r="F12" s="22"/>
      <c r="G12" s="22"/>
      <c r="H12" s="22"/>
      <c r="I12" s="22"/>
    </row>
    <row r="13" customFormat="false" ht="15" hidden="false" customHeight="false" outlineLevel="0" collapsed="false">
      <c r="A13" s="14" t="n">
        <v>12</v>
      </c>
      <c r="B13" s="22"/>
      <c r="C13" s="22"/>
      <c r="D13" s="22"/>
      <c r="E13" s="22"/>
      <c r="F13" s="22"/>
      <c r="G13" s="22"/>
      <c r="H13" s="22"/>
      <c r="I13" s="22"/>
    </row>
    <row r="14" customFormat="false" ht="15" hidden="false" customHeight="false" outlineLevel="0" collapsed="false">
      <c r="A14" s="14" t="n">
        <v>13</v>
      </c>
      <c r="B14" s="22"/>
      <c r="C14" s="22"/>
      <c r="D14" s="22"/>
      <c r="E14" s="22"/>
      <c r="F14" s="22"/>
      <c r="G14" s="22"/>
      <c r="H14" s="22"/>
      <c r="I14" s="22"/>
    </row>
    <row r="15" customFormat="false" ht="15" hidden="false" customHeight="false" outlineLevel="0" collapsed="false">
      <c r="A15" s="14" t="n">
        <v>14</v>
      </c>
      <c r="B15" s="22"/>
      <c r="C15" s="22"/>
      <c r="D15" s="22"/>
      <c r="E15" s="22"/>
      <c r="F15" s="22"/>
      <c r="G15" s="22"/>
      <c r="H15" s="22"/>
      <c r="I15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4" min="4" style="0" width="3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8"/>
    <col collapsed="false" customWidth="true" hidden="false" outlineLevel="0" max="8" min="8" style="0" width="18"/>
    <col collapsed="false" customWidth="true" hidden="false" outlineLevel="0" max="9" min="9" style="0" width="35"/>
  </cols>
  <sheetData>
    <row r="1" customFormat="false" ht="30" hidden="false" customHeight="true" outlineLevel="0" collapsed="false">
      <c r="A1" s="12" t="s">
        <v>67</v>
      </c>
      <c r="B1" s="12" t="s">
        <v>354</v>
      </c>
      <c r="C1" s="12" t="s">
        <v>355</v>
      </c>
      <c r="D1" s="12" t="s">
        <v>356</v>
      </c>
      <c r="E1" s="12" t="s">
        <v>357</v>
      </c>
      <c r="F1" s="12" t="s">
        <v>358</v>
      </c>
      <c r="G1" s="12" t="s">
        <v>359</v>
      </c>
      <c r="H1" s="12" t="s">
        <v>360</v>
      </c>
      <c r="I1" s="12" t="s">
        <v>361</v>
      </c>
    </row>
    <row r="2" customFormat="false" ht="15" hidden="false" customHeight="false" outlineLevel="0" collapsed="false">
      <c r="A2" s="14" t="n">
        <v>1</v>
      </c>
      <c r="B2" s="22" t="s">
        <v>362</v>
      </c>
      <c r="C2" s="22" t="s">
        <v>363</v>
      </c>
      <c r="D2" s="22" t="s">
        <v>364</v>
      </c>
      <c r="E2" s="22"/>
      <c r="F2" s="22"/>
      <c r="G2" s="22" t="s">
        <v>365</v>
      </c>
      <c r="H2" s="22" t="s">
        <v>47</v>
      </c>
      <c r="I2" s="22"/>
    </row>
    <row r="3" customFormat="false" ht="23.85" hidden="false" customHeight="false" outlineLevel="0" collapsed="false">
      <c r="A3" s="14" t="n">
        <v>2</v>
      </c>
      <c r="B3" s="22" t="s">
        <v>366</v>
      </c>
      <c r="C3" s="22" t="s">
        <v>367</v>
      </c>
      <c r="D3" s="22" t="s">
        <v>368</v>
      </c>
      <c r="E3" s="22"/>
      <c r="F3" s="22"/>
      <c r="G3" s="22" t="s">
        <v>369</v>
      </c>
      <c r="H3" s="22" t="s">
        <v>47</v>
      </c>
      <c r="I3" s="22"/>
    </row>
    <row r="4" customFormat="false" ht="15" hidden="false" customHeight="false" outlineLevel="0" collapsed="false">
      <c r="A4" s="14" t="n">
        <v>3</v>
      </c>
      <c r="B4" s="22" t="s">
        <v>370</v>
      </c>
      <c r="C4" s="22" t="s">
        <v>371</v>
      </c>
      <c r="D4" s="22" t="s">
        <v>372</v>
      </c>
      <c r="E4" s="22"/>
      <c r="F4" s="22"/>
      <c r="G4" s="22" t="s">
        <v>373</v>
      </c>
      <c r="H4" s="22" t="s">
        <v>47</v>
      </c>
      <c r="I4" s="22"/>
    </row>
    <row r="5" customFormat="false" ht="15" hidden="false" customHeight="false" outlineLevel="0" collapsed="false">
      <c r="A5" s="14" t="n">
        <v>4</v>
      </c>
      <c r="B5" s="22" t="s">
        <v>374</v>
      </c>
      <c r="C5" s="22" t="s">
        <v>375</v>
      </c>
      <c r="D5" s="22" t="s">
        <v>376</v>
      </c>
      <c r="E5" s="22"/>
      <c r="F5" s="22"/>
      <c r="G5" s="22" t="s">
        <v>377</v>
      </c>
      <c r="H5" s="22" t="s">
        <v>47</v>
      </c>
      <c r="I5" s="22"/>
    </row>
    <row r="6" customFormat="false" ht="15" hidden="false" customHeight="false" outlineLevel="0" collapsed="false">
      <c r="A6" s="14" t="n">
        <v>5</v>
      </c>
      <c r="B6" s="22" t="s">
        <v>378</v>
      </c>
      <c r="C6" s="22" t="s">
        <v>379</v>
      </c>
      <c r="D6" s="22" t="s">
        <v>380</v>
      </c>
      <c r="E6" s="22"/>
      <c r="F6" s="22"/>
      <c r="G6" s="22" t="s">
        <v>381</v>
      </c>
      <c r="H6" s="22" t="s">
        <v>47</v>
      </c>
      <c r="I6" s="22"/>
    </row>
    <row r="7" customFormat="false" ht="15" hidden="false" customHeight="false" outlineLevel="0" collapsed="false">
      <c r="A7" s="14" t="n">
        <v>6</v>
      </c>
      <c r="B7" s="22" t="s">
        <v>382</v>
      </c>
      <c r="C7" s="22" t="s">
        <v>383</v>
      </c>
      <c r="D7" s="22" t="s">
        <v>384</v>
      </c>
      <c r="E7" s="22"/>
      <c r="F7" s="22"/>
      <c r="G7" s="22" t="s">
        <v>385</v>
      </c>
      <c r="H7" s="22" t="s">
        <v>47</v>
      </c>
      <c r="I7" s="22"/>
    </row>
    <row r="8" customFormat="false" ht="15" hidden="false" customHeight="false" outlineLevel="0" collapsed="false">
      <c r="A8" s="14" t="n">
        <v>7</v>
      </c>
      <c r="B8" s="22" t="s">
        <v>386</v>
      </c>
      <c r="C8" s="22" t="s">
        <v>387</v>
      </c>
      <c r="D8" s="22" t="s">
        <v>388</v>
      </c>
      <c r="E8" s="22"/>
      <c r="F8" s="22"/>
      <c r="G8" s="22" t="s">
        <v>389</v>
      </c>
      <c r="H8" s="22" t="s">
        <v>47</v>
      </c>
      <c r="I8" s="22"/>
    </row>
    <row r="9" customFormat="false" ht="15" hidden="false" customHeight="false" outlineLevel="0" collapsed="false">
      <c r="A9" s="14" t="n">
        <v>8</v>
      </c>
      <c r="B9" s="22" t="s">
        <v>390</v>
      </c>
      <c r="C9" s="22" t="s">
        <v>391</v>
      </c>
      <c r="D9" s="22" t="s">
        <v>392</v>
      </c>
      <c r="E9" s="22"/>
      <c r="F9" s="22"/>
      <c r="G9" s="22" t="s">
        <v>393</v>
      </c>
      <c r="H9" s="22" t="s">
        <v>47</v>
      </c>
      <c r="I9" s="22"/>
    </row>
    <row r="10" customFormat="false" ht="15" hidden="false" customHeight="false" outlineLevel="0" collapsed="false">
      <c r="A10" s="14" t="n">
        <v>9</v>
      </c>
      <c r="B10" s="22" t="s">
        <v>394</v>
      </c>
      <c r="C10" s="22" t="s">
        <v>395</v>
      </c>
      <c r="D10" s="22" t="s">
        <v>396</v>
      </c>
      <c r="E10" s="22"/>
      <c r="F10" s="22"/>
      <c r="G10" s="22" t="s">
        <v>397</v>
      </c>
      <c r="H10" s="22" t="s">
        <v>47</v>
      </c>
      <c r="I10" s="22"/>
    </row>
    <row r="11" customFormat="false" ht="15" hidden="false" customHeight="false" outlineLevel="0" collapsed="false">
      <c r="A11" s="14" t="n">
        <v>10</v>
      </c>
      <c r="B11" s="22" t="s">
        <v>398</v>
      </c>
      <c r="C11" s="22" t="s">
        <v>399</v>
      </c>
      <c r="D11" s="22" t="s">
        <v>400</v>
      </c>
      <c r="E11" s="22"/>
      <c r="F11" s="22"/>
      <c r="G11" s="22" t="s">
        <v>373</v>
      </c>
      <c r="H11" s="22" t="s">
        <v>47</v>
      </c>
      <c r="I11" s="22"/>
    </row>
    <row r="12" customFormat="false" ht="15" hidden="false" customHeight="false" outlineLevel="0" collapsed="false">
      <c r="A12" s="14" t="n">
        <v>11</v>
      </c>
      <c r="B12" s="22" t="s">
        <v>401</v>
      </c>
      <c r="C12" s="22" t="s">
        <v>402</v>
      </c>
      <c r="D12" s="22" t="s">
        <v>403</v>
      </c>
      <c r="E12" s="22"/>
      <c r="F12" s="22"/>
      <c r="G12" s="22" t="s">
        <v>404</v>
      </c>
      <c r="H12" s="22" t="s">
        <v>47</v>
      </c>
      <c r="I12" s="22"/>
    </row>
    <row r="13" customFormat="false" ht="15" hidden="false" customHeight="false" outlineLevel="0" collapsed="false">
      <c r="A13" s="14" t="n">
        <v>12</v>
      </c>
      <c r="B13" s="22" t="s">
        <v>405</v>
      </c>
      <c r="C13" s="22" t="s">
        <v>406</v>
      </c>
      <c r="D13" s="22" t="s">
        <v>407</v>
      </c>
      <c r="E13" s="22"/>
      <c r="F13" s="22"/>
      <c r="G13" s="22" t="s">
        <v>373</v>
      </c>
      <c r="H13" s="22" t="s">
        <v>47</v>
      </c>
      <c r="I13" s="22"/>
    </row>
    <row r="14" customFormat="false" ht="15" hidden="false" customHeight="false" outlineLevel="0" collapsed="false">
      <c r="A14" s="14" t="n">
        <v>13</v>
      </c>
      <c r="B14" s="22" t="s">
        <v>408</v>
      </c>
      <c r="C14" s="22" t="s">
        <v>409</v>
      </c>
      <c r="D14" s="22" t="s">
        <v>410</v>
      </c>
      <c r="E14" s="22"/>
      <c r="F14" s="22"/>
      <c r="G14" s="22" t="s">
        <v>411</v>
      </c>
      <c r="H14" s="22" t="s">
        <v>47</v>
      </c>
      <c r="I14" s="22"/>
    </row>
    <row r="15" customFormat="false" ht="15" hidden="false" customHeight="false" outlineLevel="0" collapsed="false">
      <c r="A15" s="14" t="n">
        <v>14</v>
      </c>
      <c r="B15" s="22" t="s">
        <v>412</v>
      </c>
      <c r="C15" s="22" t="s">
        <v>413</v>
      </c>
      <c r="D15" s="22" t="s">
        <v>414</v>
      </c>
      <c r="E15" s="22"/>
      <c r="F15" s="22"/>
      <c r="G15" s="22" t="s">
        <v>415</v>
      </c>
      <c r="H15" s="22" t="s">
        <v>47</v>
      </c>
      <c r="I15" s="22"/>
    </row>
    <row r="16" customFormat="false" ht="15" hidden="false" customHeight="false" outlineLevel="0" collapsed="false">
      <c r="A16" s="14" t="n">
        <v>15</v>
      </c>
      <c r="B16" s="22" t="s">
        <v>416</v>
      </c>
      <c r="C16" s="22" t="s">
        <v>417</v>
      </c>
      <c r="D16" s="22" t="s">
        <v>418</v>
      </c>
      <c r="E16" s="22"/>
      <c r="F16" s="22"/>
      <c r="G16" s="22" t="s">
        <v>419</v>
      </c>
      <c r="H16" s="22" t="s">
        <v>47</v>
      </c>
      <c r="I16" s="22"/>
    </row>
    <row r="17" customFormat="false" ht="15" hidden="false" customHeight="false" outlineLevel="0" collapsed="false">
      <c r="A17" s="14" t="n">
        <v>16</v>
      </c>
      <c r="B17" s="22" t="s">
        <v>420</v>
      </c>
      <c r="C17" s="22" t="s">
        <v>421</v>
      </c>
      <c r="D17" s="22" t="s">
        <v>422</v>
      </c>
      <c r="E17" s="22"/>
      <c r="F17" s="22"/>
      <c r="G17" s="22" t="s">
        <v>423</v>
      </c>
      <c r="H17" s="22" t="s">
        <v>47</v>
      </c>
      <c r="I17" s="22"/>
    </row>
  </sheetData>
  <dataValidations count="1">
    <dataValidation allowBlank="true" errorStyle="stop" operator="between" showDropDown="false" showErrorMessage="false" showInputMessage="false" sqref="H2:H17" type="list">
      <formula1>"Not Started,Population Received,Sample Selected,Testing,Complete,Exceptions Noted"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70"/>
  </cols>
  <sheetData>
    <row r="2" customFormat="false" ht="22.05" hidden="false" customHeight="false" outlineLevel="0" collapsed="false">
      <c r="B2" s="5" t="s">
        <v>424</v>
      </c>
    </row>
    <row r="3" customFormat="false" ht="15" hidden="false" customHeight="false" outlineLevel="0" collapsed="false">
      <c r="B3" s="2" t="s">
        <v>425</v>
      </c>
    </row>
    <row r="5" customFormat="false" ht="27.75" hidden="false" customHeight="true" outlineLevel="0" collapsed="false">
      <c r="B5" s="12" t="s">
        <v>43</v>
      </c>
      <c r="C5" s="12" t="s">
        <v>426</v>
      </c>
      <c r="D5" s="12" t="s">
        <v>427</v>
      </c>
    </row>
    <row r="6" customFormat="false" ht="15" hidden="false" customHeight="false" outlineLevel="0" collapsed="false">
      <c r="B6" s="13" t="s">
        <v>49</v>
      </c>
      <c r="C6" s="26" t="n">
        <v>7</v>
      </c>
      <c r="D6" s="22" t="s">
        <v>428</v>
      </c>
    </row>
    <row r="7" customFormat="false" ht="15" hidden="false" customHeight="false" outlineLevel="0" collapsed="false">
      <c r="B7" s="13" t="s">
        <v>50</v>
      </c>
      <c r="C7" s="26" t="n">
        <v>6</v>
      </c>
      <c r="D7" s="22" t="s">
        <v>429</v>
      </c>
    </row>
    <row r="8" customFormat="false" ht="23.85" hidden="false" customHeight="false" outlineLevel="0" collapsed="false">
      <c r="B8" s="13" t="s">
        <v>51</v>
      </c>
      <c r="C8" s="26" t="n">
        <v>7</v>
      </c>
      <c r="D8" s="22" t="s">
        <v>430</v>
      </c>
    </row>
    <row r="9" customFormat="false" ht="23.85" hidden="false" customHeight="false" outlineLevel="0" collapsed="false">
      <c r="B9" s="13" t="s">
        <v>52</v>
      </c>
      <c r="C9" s="26" t="n">
        <v>5</v>
      </c>
      <c r="D9" s="22" t="s">
        <v>431</v>
      </c>
    </row>
    <row r="10" customFormat="false" ht="15" hidden="false" customHeight="false" outlineLevel="0" collapsed="false">
      <c r="B10" s="13" t="s">
        <v>53</v>
      </c>
      <c r="C10" s="26" t="n">
        <v>7</v>
      </c>
      <c r="D10" s="22" t="s">
        <v>432</v>
      </c>
    </row>
    <row r="11" customFormat="false" ht="15" hidden="false" customHeight="false" outlineLevel="0" collapsed="false">
      <c r="B11" s="13" t="s">
        <v>54</v>
      </c>
      <c r="C11" s="26" t="n">
        <v>4</v>
      </c>
      <c r="D11" s="22" t="s">
        <v>433</v>
      </c>
    </row>
    <row r="12" customFormat="false" ht="15" hidden="false" customHeight="false" outlineLevel="0" collapsed="false">
      <c r="B12" s="13" t="s">
        <v>55</v>
      </c>
      <c r="C12" s="26" t="n">
        <v>5</v>
      </c>
      <c r="D12" s="22" t="s">
        <v>434</v>
      </c>
    </row>
    <row r="13" customFormat="false" ht="23.85" hidden="false" customHeight="false" outlineLevel="0" collapsed="false">
      <c r="B13" s="13" t="s">
        <v>56</v>
      </c>
      <c r="C13" s="26" t="n">
        <v>7</v>
      </c>
      <c r="D13" s="22" t="s">
        <v>435</v>
      </c>
    </row>
    <row r="14" customFormat="false" ht="23.85" hidden="false" customHeight="false" outlineLevel="0" collapsed="false">
      <c r="B14" s="13" t="s">
        <v>57</v>
      </c>
      <c r="C14" s="26" t="n">
        <v>5</v>
      </c>
      <c r="D14" s="22" t="s">
        <v>436</v>
      </c>
    </row>
    <row r="15" customFormat="false" ht="15" hidden="false" customHeight="false" outlineLevel="0" collapsed="false">
      <c r="B15" s="13" t="s">
        <v>58</v>
      </c>
      <c r="C15" s="26" t="n">
        <v>2</v>
      </c>
      <c r="D15" s="22" t="s">
        <v>341</v>
      </c>
    </row>
    <row r="16" customFormat="false" ht="15" hidden="false" customHeight="false" outlineLevel="0" collapsed="false">
      <c r="B16" s="27" t="s">
        <v>59</v>
      </c>
      <c r="C16" s="12" t="n">
        <v>55</v>
      </c>
      <c r="D16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2026-04-27T20:40:19Z</dcterms:created>
  <dc:creator>openpyxl</dc:creator>
  <dc:description/>
  <dc:language>en-US</dc:language>
  <cp:lastModifiedBy/>
  <dcterms:modified xsi:type="dcterms:W3CDTF">2026-04-27T20:40:19Z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